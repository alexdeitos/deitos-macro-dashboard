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\\wsl.localhost\ArchLinux\home\deitos\projetos\desims-macrodashboard\macro_dashboard_local\data\"/>
    </mc:Choice>
  </mc:AlternateContent>
  <bookViews>
    <workbookView showHorizontalScroll="0" showVerticalScroll="0" xWindow="0" yWindow="0" windowWidth="28800" windowHeight="12180" activeTab="2"/>
  </bookViews>
  <sheets>
    <sheet name="LEIA-ME" sheetId="1" r:id="rId1"/>
    <sheet name="HISTORICO" sheetId="2" r:id="rId2"/>
    <sheet name="CONFIG_CAPTURA" sheetId="3" r:id="rId3"/>
  </sheets>
  <calcPr calcId="162913"/>
</workbook>
</file>

<file path=xl/calcChain.xml><?xml version="1.0" encoding="utf-8"?>
<calcChain xmlns="http://schemas.openxmlformats.org/spreadsheetml/2006/main">
  <c r="B10" i="3" l="1"/>
  <c r="C10" i="3"/>
  <c r="C12" i="3"/>
  <c r="C14" i="3"/>
  <c r="C16" i="3"/>
  <c r="C18" i="3"/>
  <c r="C20" i="3"/>
  <c r="C22" i="3"/>
  <c r="C24" i="3"/>
  <c r="C26" i="3"/>
  <c r="C28" i="3"/>
  <c r="C30" i="3"/>
  <c r="C34" i="3"/>
  <c r="D14" i="3"/>
  <c r="D22" i="3"/>
  <c r="D30" i="3"/>
  <c r="D36" i="3"/>
  <c r="E14" i="3"/>
  <c r="E28" i="3"/>
  <c r="E36" i="3"/>
  <c r="D10" i="3"/>
  <c r="E10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37" i="3"/>
  <c r="C27" i="3"/>
  <c r="C29" i="3"/>
  <c r="C31" i="3"/>
  <c r="C33" i="3"/>
  <c r="C35" i="3"/>
  <c r="C37" i="3"/>
  <c r="D11" i="3"/>
  <c r="D13" i="3"/>
  <c r="D15" i="3"/>
  <c r="D17" i="3"/>
  <c r="D19" i="3"/>
  <c r="D21" i="3"/>
  <c r="D23" i="3"/>
  <c r="D25" i="3"/>
  <c r="D27" i="3"/>
  <c r="D29" i="3"/>
  <c r="D31" i="3"/>
  <c r="D33" i="3"/>
  <c r="D35" i="3"/>
  <c r="D37" i="3"/>
  <c r="E13" i="3"/>
  <c r="E17" i="3"/>
  <c r="E23" i="3"/>
  <c r="E27" i="3"/>
  <c r="E29" i="3"/>
  <c r="E33" i="3"/>
  <c r="E37" i="3"/>
  <c r="B14" i="3"/>
  <c r="B18" i="3"/>
  <c r="B22" i="3"/>
  <c r="B26" i="3"/>
  <c r="B30" i="3"/>
  <c r="B34" i="3"/>
  <c r="C32" i="3"/>
  <c r="C38" i="3"/>
  <c r="D16" i="3"/>
  <c r="D20" i="3"/>
  <c r="D24" i="3"/>
  <c r="D28" i="3"/>
  <c r="D34" i="3"/>
  <c r="E12" i="3"/>
  <c r="E18" i="3"/>
  <c r="E22" i="3"/>
  <c r="E26" i="3"/>
  <c r="E32" i="3"/>
  <c r="E38" i="3"/>
  <c r="C11" i="3"/>
  <c r="C13" i="3"/>
  <c r="C15" i="3"/>
  <c r="C17" i="3"/>
  <c r="C19" i="3"/>
  <c r="C21" i="3"/>
  <c r="C23" i="3"/>
  <c r="C25" i="3"/>
  <c r="E11" i="3"/>
  <c r="E15" i="3"/>
  <c r="E19" i="3"/>
  <c r="E21" i="3"/>
  <c r="E25" i="3"/>
  <c r="E31" i="3"/>
  <c r="E35" i="3"/>
  <c r="B12" i="3"/>
  <c r="B16" i="3"/>
  <c r="B20" i="3"/>
  <c r="B24" i="3"/>
  <c r="B28" i="3"/>
  <c r="B32" i="3"/>
  <c r="B36" i="3"/>
  <c r="B38" i="3"/>
  <c r="C36" i="3"/>
  <c r="D12" i="3"/>
  <c r="D18" i="3"/>
  <c r="D26" i="3"/>
  <c r="D32" i="3"/>
  <c r="D38" i="3"/>
  <c r="E16" i="3"/>
  <c r="E20" i="3"/>
  <c r="E24" i="3"/>
  <c r="E30" i="3"/>
  <c r="E34" i="3"/>
  <c r="B39" i="3"/>
  <c r="C39" i="3"/>
  <c r="E39" i="3"/>
  <c r="D39" i="3"/>
</calcChain>
</file>

<file path=xl/sharedStrings.xml><?xml version="1.0" encoding="utf-8"?>
<sst xmlns="http://schemas.openxmlformats.org/spreadsheetml/2006/main" count="63" uniqueCount="59">
  <si>
    <t>CAPTURA AUTOMÁTICA DO PROFIT → EXCEL</t>
  </si>
  <si>
    <t>1</t>
  </si>
  <si>
    <t>Salve este arquivo como .XLSM no Excel.</t>
  </si>
  <si>
    <t>2</t>
  </si>
  <si>
    <t>Abra o VBA com ALT+F11 e importe o módulo VBA fornecido junto deste arquivo.</t>
  </si>
  <si>
    <t>3</t>
  </si>
  <si>
    <t>Na aba CONFIG_CAPTURA, informe as células que recebem os dados do RTD do Profit.</t>
  </si>
  <si>
    <t>4</t>
  </si>
  <si>
    <t>Exemplo: se PETR4 estiver na célula B10 da aba SETORES, coloque B10 na coluna Último.</t>
  </si>
  <si>
    <t>5</t>
  </si>
  <si>
    <t>O botão Iniciar captura grava um snapshot a cada 1 segundo na aba HISTORICO.</t>
  </si>
  <si>
    <t>6</t>
  </si>
  <si>
    <t>O botão Parar encerra a captura. O arquivo pode ser salvo automaticamente a cada snapshot.</t>
  </si>
  <si>
    <t>7</t>
  </si>
  <si>
    <t>Atenção: RTD atualiza as células; o VBA grava o histórico. Para centenas de ativos, o histórico cresce rapidamente.</t>
  </si>
  <si>
    <t>Data/Hora</t>
  </si>
  <si>
    <t>Aba</t>
  </si>
  <si>
    <t>Ativo</t>
  </si>
  <si>
    <t>Último</t>
  </si>
  <si>
    <t>Variação</t>
  </si>
  <si>
    <t>Negócios</t>
  </si>
  <si>
    <t>Volume</t>
  </si>
  <si>
    <t>CONFIGURAÇÃO DA CAPTURA</t>
  </si>
  <si>
    <t>Intervalo (segundos)</t>
  </si>
  <si>
    <t>IMPORTANTE</t>
  </si>
  <si>
    <t>O VBA captura as células que você indicar abaixo.</t>
  </si>
  <si>
    <t>Preencha a coluna A com o nome da aba e B com o endereço da célula do Último.</t>
  </si>
  <si>
    <t>Opcionalmente informe C=Variação, D=Negócios e E=Volume.</t>
  </si>
  <si>
    <t>Asset</t>
  </si>
  <si>
    <t>ABEV3</t>
  </si>
  <si>
    <t>AXIA3</t>
  </si>
  <si>
    <t>B3SA3</t>
  </si>
  <si>
    <t>BBAS3</t>
  </si>
  <si>
    <t>BBDC4</t>
  </si>
  <si>
    <t>BPAC11</t>
  </si>
  <si>
    <t>DI1F27</t>
  </si>
  <si>
    <t>DI1F28</t>
  </si>
  <si>
    <t>DI1F29</t>
  </si>
  <si>
    <t>DI1F30</t>
  </si>
  <si>
    <t>DI1F31</t>
  </si>
  <si>
    <t>DI1F32</t>
  </si>
  <si>
    <t>DI1F33</t>
  </si>
  <si>
    <t>DI1F34</t>
  </si>
  <si>
    <t>DI1F35</t>
  </si>
  <si>
    <t>DI1F36</t>
  </si>
  <si>
    <t>FRP0</t>
  </si>
  <si>
    <t>IFNC</t>
  </si>
  <si>
    <t>ITSA4</t>
  </si>
  <si>
    <t>ITUB4</t>
  </si>
  <si>
    <t>PETR4</t>
  </si>
  <si>
    <t>PRIO3</t>
  </si>
  <si>
    <t>RAIL3</t>
  </si>
  <si>
    <t>RENT3</t>
  </si>
  <si>
    <t>SUZB3</t>
  </si>
  <si>
    <t>VALE3</t>
  </si>
  <si>
    <t>WDOFUT</t>
  </si>
  <si>
    <t>WEGE3</t>
  </si>
  <si>
    <t>WINFUT</t>
  </si>
  <si>
    <t>IBOV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</si>
</sst>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\ h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trading.rtdserver">
      <tp t="e">
        <v>#N/A</v>
        <stp/>
        <stp>BBDC4_B_0</stp>
        <stp>NEG</stp>
        <tr r="D14" s="3"/>
      </tp>
      <tp t="e">
        <v>#N/A</v>
        <stp/>
        <stp>ABEV3_B_0</stp>
        <stp>NEG</stp>
        <tr r="D10" s="3"/>
      </tp>
      <tp t="e">
        <v>#N/A</v>
        <stp/>
        <stp>IBOV_B_0</stp>
        <stp>NEG</stp>
        <tr r="D39" s="3"/>
      </tp>
      <tp t="e">
        <v>#N/A</v>
        <stp/>
        <stp>WEGE3_B_0</stp>
        <stp>NEG</stp>
        <tr r="D37" s="3"/>
      </tp>
      <tp t="e">
        <v>#N/A</v>
        <stp/>
        <stp>WINFUT_F_0</stp>
        <stp>NEG</stp>
        <tr r="D38" s="3"/>
      </tp>
      <tp t="e">
        <v>#N/A</v>
        <stp/>
        <stp>WDOFUT_F_0</stp>
        <stp>NEG</stp>
        <tr r="D36" s="3"/>
      </tp>
      <tp t="e">
        <v>#N/A</v>
        <stp/>
        <stp>DI1F27_F_0</stp>
        <stp>NEG</stp>
        <tr r="D16" s="3"/>
      </tp>
      <tp t="e">
        <v>#N/A</v>
        <stp/>
        <stp>DI1F28_F_0</stp>
        <stp>NEG</stp>
        <tr r="D17" s="3"/>
      </tp>
      <tp t="e">
        <v>#N/A</v>
        <stp/>
        <stp>DI1F29_F_0</stp>
        <stp>NEG</stp>
        <tr r="D18" s="3"/>
      </tp>
      <tp t="e">
        <v>#N/A</v>
        <stp/>
        <stp>DI1F32_F_0</stp>
        <stp>NEG</stp>
        <tr r="D21" s="3"/>
      </tp>
      <tp t="e">
        <v>#N/A</v>
        <stp/>
        <stp>DI1F33_F_0</stp>
        <stp>NEG</stp>
        <tr r="D22" s="3"/>
      </tp>
      <tp t="e">
        <v>#N/A</v>
        <stp/>
        <stp>DI1F30_F_0</stp>
        <stp>NEG</stp>
        <tr r="D19" s="3"/>
      </tp>
      <tp t="e">
        <v>#N/A</v>
        <stp/>
        <stp>DI1F31_F_0</stp>
        <stp>NEG</stp>
        <tr r="D20" s="3"/>
      </tp>
      <tp t="e">
        <v>#N/A</v>
        <stp/>
        <stp>DI1F36_F_0</stp>
        <stp>NEG</stp>
        <tr r="D25" s="3"/>
      </tp>
      <tp t="e">
        <v>#N/A</v>
        <stp/>
        <stp>DI1F34_F_0</stp>
        <stp>NEG</stp>
        <tr r="D23" s="3"/>
      </tp>
      <tp t="e">
        <v>#N/A</v>
        <stp/>
        <stp>DI1F35_F_0</stp>
        <stp>NEG</stp>
        <tr r="D24" s="3"/>
      </tp>
      <tp t="e">
        <v>#N/A</v>
        <stp/>
        <stp>BBAS3_B_0</stp>
        <stp>NEG</stp>
        <tr r="D13" s="3"/>
      </tp>
      <tp t="e">
        <v>#N/A</v>
        <stp/>
        <stp>SUZB3_B_0</stp>
        <stp>ULT</stp>
        <tr r="B34" s="3"/>
      </tp>
      <tp t="e">
        <v>#N/A</v>
        <stp/>
        <stp>BPAC11_B_0</stp>
        <stp>NEG</stp>
        <tr r="D15" s="3"/>
      </tp>
      <tp t="e">
        <v>#N/A</v>
        <stp/>
        <stp>SUZB3_B_0</stp>
        <stp>VAR</stp>
        <tr r="C34" s="3"/>
      </tp>
      <tp t="e">
        <v>#N/A</v>
        <stp/>
        <stp>SUZB3_B_0</stp>
        <stp>VOL</stp>
        <tr r="E34" s="3"/>
      </tp>
      <tp t="e">
        <v>#N/A</v>
        <stp/>
        <stp>IFNC_B_0</stp>
        <stp>NEG</stp>
        <tr r="D27" s="3"/>
      </tp>
      <tp t="e">
        <v>#N/A</v>
        <stp/>
        <stp>PETR4_B_0</stp>
        <stp>VAR</stp>
        <tr r="C30" s="3"/>
      </tp>
      <tp t="e">
        <v>#N/A</v>
        <stp/>
        <stp>PETR4_B_0</stp>
        <stp>VOL</stp>
        <tr r="E30" s="3"/>
      </tp>
      <tp t="e">
        <v>#N/A</v>
        <stp/>
        <stp>VALE3_B_0</stp>
        <stp>NEG</stp>
        <tr r="D35" s="3"/>
      </tp>
      <tp t="e">
        <v>#N/A</v>
        <stp/>
        <stp>ITUB4_B_0</stp>
        <stp>VAR</stp>
        <tr r="C29" s="3"/>
      </tp>
      <tp t="e">
        <v>#N/A</v>
        <stp/>
        <stp>ITUB4_B_0</stp>
        <stp>VOL</stp>
        <tr r="E29" s="3"/>
      </tp>
      <tp t="e">
        <v>#N/A</v>
        <stp/>
        <stp>RENT3_B_0</stp>
        <stp>NEG</stp>
        <tr r="D33" s="3"/>
      </tp>
      <tp t="e">
        <v>#N/A</v>
        <stp/>
        <stp>ITUB4_B_0</stp>
        <stp>ULT</stp>
        <tr r="B29" s="3"/>
      </tp>
      <tp t="e">
        <v>#N/A</v>
        <stp/>
        <stp>PETR4_B_0</stp>
        <stp>ULT</stp>
        <tr r="B30" s="3"/>
      </tp>
      <tp t="e">
        <v>#N/A</v>
        <stp/>
        <stp>ITSA4_B_0</stp>
        <stp>ULT</stp>
        <tr r="B28" s="3"/>
      </tp>
      <tp t="e">
        <v>#N/A</v>
        <stp/>
        <stp>B3SA3_B_0</stp>
        <stp>ULT</stp>
        <tr r="B12" s="3"/>
      </tp>
      <tp t="e">
        <v>#N/A</v>
        <stp/>
        <stp>FRP0_F_0</stp>
        <stp>ULT</stp>
        <tr r="B26" s="3"/>
      </tp>
      <tp t="e">
        <v>#N/A</v>
        <stp/>
        <stp>AXIA3_B_0</stp>
        <stp>NEG</stp>
        <tr r="D11" s="3"/>
      </tp>
      <tp t="e">
        <v>#N/A</v>
        <stp/>
        <stp>PRIO3_B_0</stp>
        <stp>NEG</stp>
        <tr r="D31" s="3"/>
      </tp>
      <tp t="e">
        <v>#N/A</v>
        <stp/>
        <stp>RAIL3_B_0</stp>
        <stp>NEG</stp>
        <tr r="D32" s="3"/>
      </tp>
      <tp t="e">
        <v>#N/A</v>
        <stp/>
        <stp>FRP0_F_0</stp>
        <stp>VAR</stp>
        <tr r="C26" s="3"/>
      </tp>
      <tp t="e">
        <v>#N/A</v>
        <stp/>
        <stp>FRP0_F_0</stp>
        <stp>VOL</stp>
        <tr r="E26" s="3"/>
      </tp>
      <tp t="e">
        <v>#N/A</v>
        <stp/>
        <stp>ITSA4_B_0</stp>
        <stp>VAR</stp>
        <tr r="C28" s="3"/>
      </tp>
      <tp t="e">
        <v>#N/A</v>
        <stp/>
        <stp>B3SA3_B_0</stp>
        <stp>VAR</stp>
        <tr r="C12" s="3"/>
      </tp>
      <tp t="e">
        <v>#N/A</v>
        <stp/>
        <stp>B3SA3_B_0</stp>
        <stp>VOL</stp>
        <tr r="E12" s="3"/>
      </tp>
      <tp t="e">
        <v>#N/A</v>
        <stp/>
        <stp>ITSA4_B_0</stp>
        <stp>VOL</stp>
        <tr r="E28" s="3"/>
      </tp>
      <tp t="e">
        <v>#N/A</v>
        <stp/>
        <stp>PETR4_B_0</stp>
        <stp>NEG</stp>
        <tr r="D30" s="3"/>
      </tp>
      <tp t="e">
        <v>#N/A</v>
        <stp/>
        <stp>VALE3_B_0</stp>
        <stp>VAR</stp>
        <tr r="C35" s="3"/>
      </tp>
      <tp t="e">
        <v>#N/A</v>
        <stp/>
        <stp>VALE3_B_0</stp>
        <stp>VOL</stp>
        <tr r="E35" s="3"/>
      </tp>
      <tp t="e">
        <v>#N/A</v>
        <stp/>
        <stp>RENT3_B_0</stp>
        <stp>ULT</stp>
        <tr r="B33" s="3"/>
      </tp>
      <tp t="e">
        <v>#N/A</v>
        <stp/>
        <stp>ITUB4_B_0</stp>
        <stp>NEG</stp>
        <tr r="D29" s="3"/>
      </tp>
      <tp t="e">
        <v>#N/A</v>
        <stp/>
        <stp>RENT3_B_0</stp>
        <stp>VAR</stp>
        <tr r="C33" s="3"/>
      </tp>
      <tp t="e">
        <v>#N/A</v>
        <stp/>
        <stp>RENT3_B_0</stp>
        <stp>VOL</stp>
        <tr r="E33" s="3"/>
      </tp>
      <tp t="e">
        <v>#N/A</v>
        <stp/>
        <stp>VALE3_B_0</stp>
        <stp>ULT</stp>
        <tr r="B35" s="3"/>
      </tp>
      <tp t="e">
        <v>#N/A</v>
        <stp/>
        <stp>RAIL3_B_0</stp>
        <stp>VOL</stp>
        <tr r="E32" s="3"/>
      </tp>
      <tp t="e">
        <v>#N/A</v>
        <stp/>
        <stp>PRIO3_B_0</stp>
        <stp>VOL</stp>
        <tr r="E31" s="3"/>
      </tp>
      <tp t="e">
        <v>#N/A</v>
        <stp/>
        <stp>AXIA3_B_0</stp>
        <stp>VAR</stp>
        <tr r="C11" s="3"/>
      </tp>
      <tp t="e">
        <v>#N/A</v>
        <stp/>
        <stp>AXIA3_B_0</stp>
        <stp>VOL</stp>
        <tr r="E11" s="3"/>
      </tp>
      <tp t="e">
        <v>#N/A</v>
        <stp/>
        <stp>PRIO3_B_0</stp>
        <stp>VAR</stp>
        <tr r="C31" s="3"/>
      </tp>
      <tp t="e">
        <v>#N/A</v>
        <stp/>
        <stp>RAIL3_B_0</stp>
        <stp>VAR</stp>
        <tr r="C32" s="3"/>
      </tp>
      <tp t="e">
        <v>#N/A</v>
        <stp/>
        <stp>FRP0_F_0</stp>
        <stp>NEG</stp>
        <tr r="D26" s="3"/>
      </tp>
      <tp t="e">
        <v>#N/A</v>
        <stp/>
        <stp>PRIO3_B_0</stp>
        <stp>ULT</stp>
        <tr r="B31" s="3"/>
      </tp>
      <tp t="e">
        <v>#N/A</v>
        <stp/>
        <stp>RAIL3_B_0</stp>
        <stp>ULT</stp>
        <tr r="B32" s="3"/>
      </tp>
      <tp t="e">
        <v>#N/A</v>
        <stp/>
        <stp>AXIA3_B_0</stp>
        <stp>ULT</stp>
        <tr r="B11" s="3"/>
      </tp>
      <tp t="e">
        <v>#N/A</v>
        <stp/>
        <stp>ITSA4_B_0</stp>
        <stp>NEG</stp>
        <tr r="D28" s="3"/>
      </tp>
      <tp t="e">
        <v>#N/A</v>
        <stp/>
        <stp>B3SA3_B_0</stp>
        <stp>NEG</stp>
        <tr r="D12" s="3"/>
      </tp>
      <tp t="e">
        <v>#N/A</v>
        <stp/>
        <stp>BBDC4_B_0</stp>
        <stp>VAR</stp>
        <tr r="C14" s="3"/>
      </tp>
      <tp t="e">
        <v>#N/A</v>
        <stp/>
        <stp>BBDC4_B_0</stp>
        <stp>VOL</stp>
        <tr r="E14" s="3"/>
      </tp>
      <tp t="e">
        <v>#N/A</v>
        <stp/>
        <stp>WEGE3_B_0</stp>
        <stp>ULT</stp>
        <tr r="B37" s="3"/>
      </tp>
      <tp t="e">
        <v>#N/A</v>
        <stp/>
        <stp>ABEV3_B_0</stp>
        <stp>VAR</stp>
        <tr r="C10" s="3"/>
      </tp>
      <tp t="e">
        <v>#N/A</v>
        <stp/>
        <stp>ABEV3_B_0</stp>
        <stp>VOL</stp>
        <tr r="E10" s="3"/>
      </tp>
      <tp t="e">
        <v>#N/A</v>
        <stp/>
        <stp>IBOV_B_0</stp>
        <stp>ULT</stp>
        <tr r="B39" s="3"/>
      </tp>
      <tp t="e">
        <v>#N/A</v>
        <stp/>
        <stp>ABEV3_B_0</stp>
        <stp>ULT</stp>
        <tr r="B10" s="3"/>
      </tp>
      <tp t="e">
        <v>#N/A</v>
        <stp/>
        <stp>IBOV_B_0</stp>
        <stp>VOL</stp>
        <tr r="E39" s="3"/>
      </tp>
      <tp t="e">
        <v>#N/A</v>
        <stp/>
        <stp>IBOV_B_0</stp>
        <stp>VAR</stp>
        <tr r="C39" s="3"/>
      </tp>
      <tp t="e">
        <v>#N/A</v>
        <stp/>
        <stp>WEGE3_B_0</stp>
        <stp>VAR</stp>
        <tr r="C37" s="3"/>
      </tp>
      <tp t="e">
        <v>#N/A</v>
        <stp/>
        <stp>BBDC4_B_0</stp>
        <stp>ULT</stp>
        <tr r="B14" s="3"/>
      </tp>
      <tp t="e">
        <v>#N/A</v>
        <stp/>
        <stp>WEGE3_B_0</stp>
        <stp>VOL</stp>
        <tr r="E37" s="3"/>
      </tp>
      <tp t="e">
        <v>#N/A</v>
        <stp/>
        <stp>WINFUT_F_0</stp>
        <stp>VAR</stp>
        <tr r="C38" s="3"/>
      </tp>
      <tp t="e">
        <v>#N/A</v>
        <stp/>
        <stp>WDOFUT_F_0</stp>
        <stp>VAR</stp>
        <tr r="C36" s="3"/>
      </tp>
      <tp t="e">
        <v>#N/A</v>
        <stp/>
        <stp>WDOFUT_F_0</stp>
        <stp>VOL</stp>
        <tr r="E36" s="3"/>
      </tp>
      <tp t="e">
        <v>#N/A</v>
        <stp/>
        <stp>WINFUT_F_0</stp>
        <stp>VOL</stp>
        <tr r="E38" s="3"/>
      </tp>
      <tp t="e">
        <v>#N/A</v>
        <stp/>
        <stp>DI1F27_F_0</stp>
        <stp>VAR</stp>
        <tr r="C16" s="3"/>
      </tp>
      <tp t="e">
        <v>#N/A</v>
        <stp/>
        <stp>DI1F29_F_0</stp>
        <stp>VAR</stp>
        <tr r="C18" s="3"/>
      </tp>
      <tp t="e">
        <v>#N/A</v>
        <stp/>
        <stp>DI1F28_F_0</stp>
        <stp>VAR</stp>
        <tr r="C17" s="3"/>
      </tp>
      <tp t="e">
        <v>#N/A</v>
        <stp/>
        <stp>DI1F36_F_0</stp>
        <stp>VAR</stp>
        <tr r="C25" s="3"/>
      </tp>
      <tp t="e">
        <v>#N/A</v>
        <stp/>
        <stp>DI1F35_F_0</stp>
        <stp>VAR</stp>
        <tr r="C24" s="3"/>
      </tp>
      <tp t="e">
        <v>#N/A</v>
        <stp/>
        <stp>DI1F34_F_0</stp>
        <stp>VAR</stp>
        <tr r="C23" s="3"/>
      </tp>
      <tp t="e">
        <v>#N/A</v>
        <stp/>
        <stp>DI1F33_F_0</stp>
        <stp>VAR</stp>
        <tr r="C22" s="3"/>
      </tp>
      <tp t="e">
        <v>#N/A</v>
        <stp/>
        <stp>DI1F32_F_0</stp>
        <stp>VAR</stp>
        <tr r="C21" s="3"/>
      </tp>
      <tp t="e">
        <v>#N/A</v>
        <stp/>
        <stp>DI1F31_F_0</stp>
        <stp>VAR</stp>
        <tr r="C20" s="3"/>
      </tp>
      <tp t="e">
        <v>#N/A</v>
        <stp/>
        <stp>DI1F30_F_0</stp>
        <stp>VAR</stp>
        <tr r="C19" s="3"/>
      </tp>
      <tp t="e">
        <v>#N/A</v>
        <stp/>
        <stp>DI1F29_F_0</stp>
        <stp>VOL</stp>
        <tr r="E18" s="3"/>
      </tp>
      <tp t="e">
        <v>#N/A</v>
        <stp/>
        <stp>DI1F28_F_0</stp>
        <stp>VOL</stp>
        <tr r="E17" s="3"/>
      </tp>
      <tp t="e">
        <v>#N/A</v>
        <stp/>
        <stp>DI1F27_F_0</stp>
        <stp>VOL</stp>
        <tr r="E16" s="3"/>
      </tp>
      <tp t="e">
        <v>#N/A</v>
        <stp/>
        <stp>DI1F31_F_0</stp>
        <stp>VOL</stp>
        <tr r="E20" s="3"/>
      </tp>
      <tp t="e">
        <v>#N/A</v>
        <stp/>
        <stp>DI1F30_F_0</stp>
        <stp>VOL</stp>
        <tr r="E19" s="3"/>
      </tp>
      <tp t="e">
        <v>#N/A</v>
        <stp/>
        <stp>DI1F33_F_0</stp>
        <stp>VOL</stp>
        <tr r="E22" s="3"/>
      </tp>
      <tp t="e">
        <v>#N/A</v>
        <stp/>
        <stp>DI1F32_F_0</stp>
        <stp>VOL</stp>
        <tr r="E21" s="3"/>
      </tp>
      <tp t="e">
        <v>#N/A</v>
        <stp/>
        <stp>DI1F35_F_0</stp>
        <stp>VOL</stp>
        <tr r="E24" s="3"/>
      </tp>
      <tp t="e">
        <v>#N/A</v>
        <stp/>
        <stp>DI1F34_F_0</stp>
        <stp>VOL</stp>
        <tr r="E23" s="3"/>
      </tp>
      <tp t="e">
        <v>#N/A</v>
        <stp/>
        <stp>DI1F36_F_0</stp>
        <stp>VOL</stp>
        <tr r="E25" s="3"/>
      </tp>
      <tp t="e">
        <v>#N/A</v>
        <stp/>
        <stp>BBAS3_B_0</stp>
        <stp>VAR</stp>
        <tr r="C13" s="3"/>
      </tp>
      <tp t="e">
        <v>#N/A</v>
        <stp/>
        <stp>BBAS3_B_0</stp>
        <stp>VOL</stp>
        <tr r="E13" s="3"/>
      </tp>
      <tp t="e">
        <v>#N/A</v>
        <stp/>
        <stp>IFNC_B_0</stp>
        <stp>ULT</stp>
        <tr r="B27" s="3"/>
      </tp>
      <tp t="e">
        <v>#N/A</v>
        <stp/>
        <stp>BPAC11_B_0</stp>
        <stp>VAR</stp>
        <tr r="C15" s="3"/>
      </tp>
      <tp t="e">
        <v>#N/A</v>
        <stp/>
        <stp>BPAC11_B_0</stp>
        <stp>VOL</stp>
        <tr r="E15" s="3"/>
      </tp>
      <tp t="e">
        <v>#N/A</v>
        <stp/>
        <stp>BBAS3_B_0</stp>
        <stp>ULT</stp>
        <tr r="B13" s="3"/>
      </tp>
      <tp t="e">
        <v>#N/A</v>
        <stp/>
        <stp>SUZB3_B_0</stp>
        <stp>NEG</stp>
        <tr r="D34" s="3"/>
      </tp>
      <tp t="e">
        <v>#N/A</v>
        <stp/>
        <stp>IFNC_B_0</stp>
        <stp>VOL</stp>
        <tr r="E27" s="3"/>
      </tp>
      <tp t="e">
        <v>#N/A</v>
        <stp/>
        <stp>IFNC_B_0</stp>
        <stp>VAR</stp>
        <tr r="C27" s="3"/>
      </tp>
      <tp t="e">
        <v>#N/A</v>
        <stp/>
        <stp>BPAC11_B_0</stp>
        <stp>ULT</stp>
        <tr r="B15" s="3"/>
      </tp>
      <tp t="e">
        <v>#N/A</v>
        <stp/>
        <stp>WINFUT_F_0</stp>
        <stp>ULT</stp>
        <tr r="B38" s="3"/>
      </tp>
      <tp t="e">
        <v>#N/A</v>
        <stp/>
        <stp>WDOFUT_F_0</stp>
        <stp>ULT</stp>
        <tr r="B36" s="3"/>
      </tp>
      <tp t="e">
        <v>#N/A</v>
        <stp/>
        <stp>DI1F31_F_0</stp>
        <stp>ULT</stp>
        <tr r="B20" s="3"/>
      </tp>
      <tp t="e">
        <v>#N/A</v>
        <stp/>
        <stp>DI1F30_F_0</stp>
        <stp>ULT</stp>
        <tr r="B19" s="3"/>
      </tp>
      <tp t="e">
        <v>#N/A</v>
        <stp/>
        <stp>DI1F33_F_0</stp>
        <stp>ULT</stp>
        <tr r="B22" s="3"/>
      </tp>
      <tp t="e">
        <v>#N/A</v>
        <stp/>
        <stp>DI1F32_F_0</stp>
        <stp>ULT</stp>
        <tr r="B21" s="3"/>
      </tp>
      <tp t="e">
        <v>#N/A</v>
        <stp/>
        <stp>DI1F35_F_0</stp>
        <stp>ULT</stp>
        <tr r="B24" s="3"/>
      </tp>
      <tp t="e">
        <v>#N/A</v>
        <stp/>
        <stp>DI1F34_F_0</stp>
        <stp>ULT</stp>
        <tr r="B23" s="3"/>
      </tp>
      <tp t="e">
        <v>#N/A</v>
        <stp/>
        <stp>DI1F36_F_0</stp>
        <stp>ULT</stp>
        <tr r="B25" s="3"/>
      </tp>
      <tp t="e">
        <v>#N/A</v>
        <stp/>
        <stp>DI1F27_F_0</stp>
        <stp>ULT</stp>
        <tr r="B16" s="3"/>
      </tp>
      <tp t="e">
        <v>#N/A</v>
        <stp/>
        <stp>DI1F29_F_0</stp>
        <stp>ULT</stp>
        <tr r="B18" s="3"/>
      </tp>
      <tp t="e">
        <v>#N/A</v>
        <stp/>
        <stp>DI1F28_F_0</stp>
        <stp>ULT</stp>
        <tr r="B17" s="3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B8"/>
  <sheetViews>
    <sheetView zoomScaleNormal="100" workbookViewId="0">
      <selection activeCell="B11" sqref="B11"/>
    </sheetView>
  </sheetViews>
  <sheetFormatPr defaultRowHeight="15" x14ac:dyDescent="0.25"/>
  <cols>
    <col min="1" max="1" width="8" customWidth="1"/>
    <col min="2" max="2" width="115" customWidth="1"/>
  </cols>
  <sheetData>
    <row r="1" spans="1:2" x14ac:dyDescent="0.25">
      <c r="A1" t="s">
        <v>0</v>
      </c>
    </row>
    <row r="2" spans="1:2" x14ac:dyDescent="0.25">
      <c r="A2" t="s">
        <v>1</v>
      </c>
      <c r="B2" t="s">
        <v>2</v>
      </c>
    </row>
    <row r="3" spans="1:2" x14ac:dyDescent="0.25">
      <c r="A3" t="s">
        <v>3</v>
      </c>
      <c r="B3" t="s">
        <v>4</v>
      </c>
    </row>
    <row r="4" spans="1:2" x14ac:dyDescent="0.25">
      <c r="A4" t="s">
        <v>5</v>
      </c>
      <c r="B4" t="s">
        <v>6</v>
      </c>
    </row>
    <row r="5" spans="1:2" x14ac:dyDescent="0.25">
      <c r="A5" t="s">
        <v>7</v>
      </c>
      <c r="B5" t="s">
        <v>8</v>
      </c>
    </row>
    <row r="6" spans="1:2" x14ac:dyDescent="0.25">
      <c r="A6" t="s">
        <v>9</v>
      </c>
      <c r="B6" t="s">
        <v>10</v>
      </c>
    </row>
    <row r="7" spans="1:2" x14ac:dyDescent="0.25">
      <c r="A7" t="s">
        <v>11</v>
      </c>
      <c r="B7" t="s">
        <v>12</v>
      </c>
    </row>
    <row r="8" spans="1:2" x14ac:dyDescent="0.25">
      <c r="A8" t="s">
        <v>13</v>
      </c>
      <c r="B8" t="s">
        <v>14</v>
      </c>
    </row>
  </sheetData>
  <pageMargins left="0.75" right="0.75" top="1" bottom="1" header="0.5" footer="0.5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G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" style="1" customWidth="1"/>
    <col min="2" max="2" width="20" customWidth="1"/>
    <col min="3" max="3" width="18" customWidth="1"/>
    <col min="4" max="6" width="16" customWidth="1"/>
    <col min="7" max="7" width="18" customWidth="1"/>
  </cols>
  <sheetData>
    <row r="1" spans="1:7" x14ac:dyDescent="0.25">
      <c r="A1" s="1" t="s">
        <v>15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E39"/>
  <sheetViews>
    <sheetView tabSelected="1" topLeftCell="A4" workbookViewId="0">
      <selection activeCell="A9" sqref="A9:E38"/>
    </sheetView>
  </sheetViews>
  <sheetFormatPr defaultRowHeight="15" x14ac:dyDescent="0.25"/>
  <cols>
    <col min="1" max="1" width="24" customWidth="1"/>
    <col min="2" max="2" width="18" customWidth="1"/>
    <col min="3" max="5" width="13" customWidth="1"/>
  </cols>
  <sheetData>
    <row r="1" spans="1:5" x14ac:dyDescent="0.25">
      <c r="A1" t="s">
        <v>22</v>
      </c>
    </row>
    <row r="2" spans="1:5" x14ac:dyDescent="0.25">
      <c r="A2" t="s">
        <v>23</v>
      </c>
      <c r="B2">
        <v>1</v>
      </c>
    </row>
    <row r="4" spans="1:5" x14ac:dyDescent="0.25">
      <c r="A4" t="s">
        <v>24</v>
      </c>
    </row>
    <row r="5" spans="1:5" x14ac:dyDescent="0.25">
      <c r="A5" t="s">
        <v>25</v>
      </c>
    </row>
    <row r="6" spans="1:5" x14ac:dyDescent="0.25">
      <c r="A6" t="s">
        <v>26</v>
      </c>
    </row>
    <row r="7" spans="1:5" x14ac:dyDescent="0.25">
      <c r="A7" t="s">
        <v>27</v>
      </c>
    </row>
    <row r="9" spans="1:5" x14ac:dyDescent="0.25">
      <c r="A9" t="s">
        <v>28</v>
      </c>
      <c r="B9" t="s">
        <v>18</v>
      </c>
      <c r="C9" t="s">
        <v>19</v>
      </c>
      <c r="D9" t="s">
        <v>20</v>
      </c>
      <c r="E9" t="s">
        <v>21</v>
      </c>
    </row>
    <row r="10" spans="1:5" x14ac:dyDescent="0.25">
      <c r="A10" t="s">
        <v>29</v>
      </c>
      <c r="B10" t="e">
        <f>RTD("rtdtrading.rtdserver",, "ABEV3_B_0", "ULT")</f>
        <v>#N/A</v>
      </c>
      <c r="C10" t="e">
        <f>RTD("rtdtrading.rtdserver",, "ABEV3_B_0", "VAR")</f>
        <v>#N/A</v>
      </c>
      <c r="D10" t="e">
        <f>RTD("rtdtrading.rtdserver",, "ABEV3_B_0", "NEG")</f>
        <v>#N/A</v>
      </c>
      <c r="E10" t="e">
        <f>RTD("rtdtrading.rtdserver",, "ABEV3_B_0", "VOL")</f>
        <v>#N/A</v>
      </c>
    </row>
    <row r="11" spans="1:5" x14ac:dyDescent="0.25">
      <c r="A11" t="s">
        <v>30</v>
      </c>
      <c r="B11" t="e">
        <f>RTD("rtdtrading.rtdserver",, "AXIA3_B_0", "ULT")</f>
        <v>#N/A</v>
      </c>
      <c r="C11" t="e">
        <f>RTD("rtdtrading.rtdserver",, "AXIA3_B_0", "VAR")</f>
        <v>#N/A</v>
      </c>
      <c r="D11" t="e">
        <f>RTD("rtdtrading.rtdserver",, "AXIA3_B_0", "NEG")</f>
        <v>#N/A</v>
      </c>
      <c r="E11" t="e">
        <f>RTD("rtdtrading.rtdserver",, "AXIA3_B_0", "VOL")</f>
        <v>#N/A</v>
      </c>
    </row>
    <row r="12" spans="1:5" x14ac:dyDescent="0.25">
      <c r="A12" t="s">
        <v>31</v>
      </c>
      <c r="B12" t="e">
        <f>RTD("rtdtrading.rtdserver",, "B3SA3_B_0", "ULT")</f>
        <v>#N/A</v>
      </c>
      <c r="C12" t="e">
        <f>RTD("rtdtrading.rtdserver",, "B3SA3_B_0", "VAR")</f>
        <v>#N/A</v>
      </c>
      <c r="D12" t="e">
        <f>RTD("rtdtrading.rtdserver",, "B3SA3_B_0", "NEG")</f>
        <v>#N/A</v>
      </c>
      <c r="E12" t="e">
        <f>RTD("rtdtrading.rtdserver",, "B3SA3_B_0", "VOL")</f>
        <v>#N/A</v>
      </c>
    </row>
    <row r="13" spans="1:5" x14ac:dyDescent="0.25">
      <c r="A13" t="s">
        <v>32</v>
      </c>
      <c r="B13" t="e">
        <f>RTD("rtdtrading.rtdserver",, "BBAS3_B_0", "ULT")</f>
        <v>#N/A</v>
      </c>
      <c r="C13" t="e">
        <f>RTD("rtdtrading.rtdserver",, "BBAS3_B_0", "VAR")</f>
        <v>#N/A</v>
      </c>
      <c r="D13" t="e">
        <f>RTD("rtdtrading.rtdserver",, "BBAS3_B_0", "NEG")</f>
        <v>#N/A</v>
      </c>
      <c r="E13" t="e">
        <f>RTD("rtdtrading.rtdserver",, "BBAS3_B_0", "VOL")</f>
        <v>#N/A</v>
      </c>
    </row>
    <row r="14" spans="1:5" x14ac:dyDescent="0.25">
      <c r="A14" t="s">
        <v>33</v>
      </c>
      <c r="B14" t="e">
        <f>RTD("rtdtrading.rtdserver",, "BBDC4_B_0", "ULT")</f>
        <v>#N/A</v>
      </c>
      <c r="C14" t="e">
        <f>RTD("rtdtrading.rtdserver",, "BBDC4_B_0", "VAR")</f>
        <v>#N/A</v>
      </c>
      <c r="D14" t="e">
        <f>RTD("rtdtrading.rtdserver",, "BBDC4_B_0", "NEG")</f>
        <v>#N/A</v>
      </c>
      <c r="E14" t="e">
        <f>RTD("rtdtrading.rtdserver",, "BBDC4_B_0", "VOL")</f>
        <v>#N/A</v>
      </c>
    </row>
    <row r="15" spans="1:5" x14ac:dyDescent="0.25">
      <c r="A15" t="s">
        <v>34</v>
      </c>
      <c r="B15" t="e">
        <f>RTD("rtdtrading.rtdserver",, "BPAC11_B_0", "ULT")</f>
        <v>#N/A</v>
      </c>
      <c r="C15" t="e">
        <f>RTD("rtdtrading.rtdserver",, "BPAC11_B_0", "VAR")</f>
        <v>#N/A</v>
      </c>
      <c r="D15" t="e">
        <f>RTD("rtdtrading.rtdserver",, "BPAC11_B_0", "NEG")</f>
        <v>#N/A</v>
      </c>
      <c r="E15" t="e">
        <f>RTD("rtdtrading.rtdserver",, "BPAC11_B_0", "VOL")</f>
        <v>#N/A</v>
      </c>
    </row>
    <row r="16" spans="1:5" x14ac:dyDescent="0.25">
      <c r="A16" t="s">
        <v>35</v>
      </c>
      <c r="B16" t="e">
        <f>RTD("rtdtrading.rtdserver",, "DI1F27_F_0", "ULT")</f>
        <v>#N/A</v>
      </c>
      <c r="C16" t="e">
        <f>RTD("rtdtrading.rtdserver",, "DI1F27_F_0", "VAR")</f>
        <v>#N/A</v>
      </c>
      <c r="D16" t="e">
        <f>RTD("rtdtrading.rtdserver",, "DI1F27_F_0", "NEG")</f>
        <v>#N/A</v>
      </c>
      <c r="E16" t="e">
        <f>RTD("rtdtrading.rtdserver",, "DI1F27_F_0", "VOL")</f>
        <v>#N/A</v>
      </c>
    </row>
    <row r="17" spans="1:5" x14ac:dyDescent="0.25">
      <c r="A17" t="s">
        <v>36</v>
      </c>
      <c r="B17" t="e">
        <f>RTD("rtdtrading.rtdserver",, "DI1F28_F_0", "ULT")</f>
        <v>#N/A</v>
      </c>
      <c r="C17" t="e">
        <f>RTD("rtdtrading.rtdserver",, "DI1F28_F_0", "VAR")</f>
        <v>#N/A</v>
      </c>
      <c r="D17" t="e">
        <f>RTD("rtdtrading.rtdserver",, "DI1F28_F_0", "NEG")</f>
        <v>#N/A</v>
      </c>
      <c r="E17" t="e">
        <f>RTD("rtdtrading.rtdserver",, "DI1F28_F_0", "VOL")</f>
        <v>#N/A</v>
      </c>
    </row>
    <row r="18" spans="1:5" x14ac:dyDescent="0.25">
      <c r="A18" t="s">
        <v>37</v>
      </c>
      <c r="B18" t="e">
        <f>RTD("rtdtrading.rtdserver",, "DI1F29_F_0", "ULT")</f>
        <v>#N/A</v>
      </c>
      <c r="C18" t="e">
        <f>RTD("rtdtrading.rtdserver",, "DI1F29_F_0", "VAR")</f>
        <v>#N/A</v>
      </c>
      <c r="D18" t="e">
        <f>RTD("rtdtrading.rtdserver",, "DI1F29_F_0", "NEG")</f>
        <v>#N/A</v>
      </c>
      <c r="E18" t="e">
        <f>RTD("rtdtrading.rtdserver",, "DI1F29_F_0", "VOL")</f>
        <v>#N/A</v>
      </c>
    </row>
    <row r="19" spans="1:5" x14ac:dyDescent="0.25">
      <c r="A19" t="s">
        <v>38</v>
      </c>
      <c r="B19" t="e">
        <f>RTD("rtdtrading.rtdserver",, "DI1F30_F_0", "ULT")</f>
        <v>#N/A</v>
      </c>
      <c r="C19" t="e">
        <f>RTD("rtdtrading.rtdserver",, "DI1F30_F_0", "VAR")</f>
        <v>#N/A</v>
      </c>
      <c r="D19" t="e">
        <f>RTD("rtdtrading.rtdserver",, "DI1F30_F_0", "NEG")</f>
        <v>#N/A</v>
      </c>
      <c r="E19" t="e">
        <f>RTD("rtdtrading.rtdserver",, "DI1F30_F_0", "VOL")</f>
        <v>#N/A</v>
      </c>
    </row>
    <row r="20" spans="1:5" x14ac:dyDescent="0.25">
      <c r="A20" t="s">
        <v>39</v>
      </c>
      <c r="B20" t="e">
        <f>RTD("rtdtrading.rtdserver",, "DI1F31_F_0", "ULT")</f>
        <v>#N/A</v>
      </c>
      <c r="C20" t="e">
        <f>RTD("rtdtrading.rtdserver",, "DI1F31_F_0", "VAR")</f>
        <v>#N/A</v>
      </c>
      <c r="D20" t="e">
        <f>RTD("rtdtrading.rtdserver",, "DI1F31_F_0", "NEG")</f>
        <v>#N/A</v>
      </c>
      <c r="E20" t="e">
        <f>RTD("rtdtrading.rtdserver",, "DI1F31_F_0", "VOL")</f>
        <v>#N/A</v>
      </c>
    </row>
    <row r="21" spans="1:5" x14ac:dyDescent="0.25">
      <c r="A21" t="s">
        <v>40</v>
      </c>
      <c r="B21" t="e">
        <f>RTD("rtdtrading.rtdserver",, "DI1F32_F_0", "ULT")</f>
        <v>#N/A</v>
      </c>
      <c r="C21" t="e">
        <f>RTD("rtdtrading.rtdserver",, "DI1F32_F_0", "VAR")</f>
        <v>#N/A</v>
      </c>
      <c r="D21" t="e">
        <f>RTD("rtdtrading.rtdserver",, "DI1F32_F_0", "NEG")</f>
        <v>#N/A</v>
      </c>
      <c r="E21" t="e">
        <f>RTD("rtdtrading.rtdserver",, "DI1F32_F_0", "VOL")</f>
        <v>#N/A</v>
      </c>
    </row>
    <row r="22" spans="1:5" x14ac:dyDescent="0.25">
      <c r="A22" t="s">
        <v>41</v>
      </c>
      <c r="B22" t="e">
        <f>RTD("rtdtrading.rtdserver",, "DI1F33_F_0", "ULT")</f>
        <v>#N/A</v>
      </c>
      <c r="C22" t="e">
        <f>RTD("rtdtrading.rtdserver",, "DI1F33_F_0", "VAR")</f>
        <v>#N/A</v>
      </c>
      <c r="D22" t="e">
        <f>RTD("rtdtrading.rtdserver",, "DI1F33_F_0", "NEG")</f>
        <v>#N/A</v>
      </c>
      <c r="E22" t="e">
        <f>RTD("rtdtrading.rtdserver",, "DI1F33_F_0", "VOL")</f>
        <v>#N/A</v>
      </c>
    </row>
    <row r="23" spans="1:5" x14ac:dyDescent="0.25">
      <c r="A23" t="s">
        <v>42</v>
      </c>
      <c r="B23" t="e">
        <f>RTD("rtdtrading.rtdserver",, "DI1F34_F_0", "ULT")</f>
        <v>#N/A</v>
      </c>
      <c r="C23" t="e">
        <f>RTD("rtdtrading.rtdserver",, "DI1F34_F_0", "VAR")</f>
        <v>#N/A</v>
      </c>
      <c r="D23" t="e">
        <f>RTD("rtdtrading.rtdserver",, "DI1F34_F_0", "NEG")</f>
        <v>#N/A</v>
      </c>
      <c r="E23" t="e">
        <f>RTD("rtdtrading.rtdserver",, "DI1F34_F_0", "VOL")</f>
        <v>#N/A</v>
      </c>
    </row>
    <row r="24" spans="1:5" x14ac:dyDescent="0.25">
      <c r="A24" t="s">
        <v>43</v>
      </c>
      <c r="B24" t="e">
        <f>RTD("rtdtrading.rtdserver",, "DI1F35_F_0", "ULT")</f>
        <v>#N/A</v>
      </c>
      <c r="C24" t="e">
        <f>RTD("rtdtrading.rtdserver",, "DI1F35_F_0", "VAR")</f>
        <v>#N/A</v>
      </c>
      <c r="D24" t="e">
        <f>RTD("rtdtrading.rtdserver",, "DI1F35_F_0", "NEG")</f>
        <v>#N/A</v>
      </c>
      <c r="E24" t="e">
        <f>RTD("rtdtrading.rtdserver",, "DI1F35_F_0", "VOL")</f>
        <v>#N/A</v>
      </c>
    </row>
    <row r="25" spans="1:5" x14ac:dyDescent="0.25">
      <c r="A25" t="s">
        <v>44</v>
      </c>
      <c r="B25" t="e">
        <f>RTD("rtdtrading.rtdserver",, "DI1F36_F_0", "ULT")</f>
        <v>#N/A</v>
      </c>
      <c r="C25" t="e">
        <f>RTD("rtdtrading.rtdserver",, "DI1F36_F_0", "VAR")</f>
        <v>#N/A</v>
      </c>
      <c r="D25" t="e">
        <f>RTD("rtdtrading.rtdserver",, "DI1F36_F_0", "NEG")</f>
        <v>#N/A</v>
      </c>
      <c r="E25" t="e">
        <f>RTD("rtdtrading.rtdserver",, "DI1F36_F_0", "VOL")</f>
        <v>#N/A</v>
      </c>
    </row>
    <row r="26" spans="1:5" x14ac:dyDescent="0.25">
      <c r="A26" t="s">
        <v>45</v>
      </c>
      <c r="B26" t="e">
        <f>RTD("rtdtrading.rtdserver",, "FRP0_F_0", "ULT")</f>
        <v>#N/A</v>
      </c>
      <c r="C26" t="e">
        <f>RTD("rtdtrading.rtdserver",, "FRP0_F_0", "VAR")</f>
        <v>#N/A</v>
      </c>
      <c r="D26" t="e">
        <f>RTD("rtdtrading.rtdserver",, "FRP0_F_0", "NEG")</f>
        <v>#N/A</v>
      </c>
      <c r="E26" t="e">
        <f>RTD("rtdtrading.rtdserver",, "FRP0_F_0", "VOL")</f>
        <v>#N/A</v>
      </c>
    </row>
    <row r="27" spans="1:5" x14ac:dyDescent="0.25">
      <c r="A27" t="s">
        <v>46</v>
      </c>
      <c r="B27" t="e">
        <f>RTD("rtdtrading.rtdserver",, "IFNC_B_0", "ULT")</f>
        <v>#N/A</v>
      </c>
      <c r="C27" t="e">
        <f>RTD("rtdtrading.rtdserver",, "IFNC_B_0", "VAR")</f>
        <v>#N/A</v>
      </c>
      <c r="D27" t="e">
        <f>RTD("rtdtrading.rtdserver",, "IFNC_B_0", "NEG")</f>
        <v>#N/A</v>
      </c>
      <c r="E27" t="e">
        <f>RTD("rtdtrading.rtdserver",, "IFNC_B_0", "VOL")</f>
        <v>#N/A</v>
      </c>
    </row>
    <row r="28" spans="1:5" x14ac:dyDescent="0.25">
      <c r="A28" t="s">
        <v>47</v>
      </c>
      <c r="B28" t="e">
        <f>RTD("rtdtrading.rtdserver",, "ITSA4_B_0", "ULT")</f>
        <v>#N/A</v>
      </c>
      <c r="C28" t="e">
        <f>RTD("rtdtrading.rtdserver",, "ITSA4_B_0", "VAR")</f>
        <v>#N/A</v>
      </c>
      <c r="D28" t="e">
        <f>RTD("rtdtrading.rtdserver",, "ITSA4_B_0", "NEG")</f>
        <v>#N/A</v>
      </c>
      <c r="E28" t="e">
        <f>RTD("rtdtrading.rtdserver",, "ITSA4_B_0", "VOL")</f>
        <v>#N/A</v>
      </c>
    </row>
    <row r="29" spans="1:5" x14ac:dyDescent="0.25">
      <c r="A29" t="s">
        <v>48</v>
      </c>
      <c r="B29" t="e">
        <f>RTD("rtdtrading.rtdserver",, "ITUB4_B_0", "ULT")</f>
        <v>#N/A</v>
      </c>
      <c r="C29" t="e">
        <f>RTD("rtdtrading.rtdserver",, "ITUB4_B_0", "VAR")</f>
        <v>#N/A</v>
      </c>
      <c r="D29" t="e">
        <f>RTD("rtdtrading.rtdserver",, "ITUB4_B_0", "NEG")</f>
        <v>#N/A</v>
      </c>
      <c r="E29" t="e">
        <f>RTD("rtdtrading.rtdserver",, "ITUB4_B_0", "VOL")</f>
        <v>#N/A</v>
      </c>
    </row>
    <row r="30" spans="1:5" x14ac:dyDescent="0.25">
      <c r="A30" t="s">
        <v>49</v>
      </c>
      <c r="B30" t="e">
        <f>RTD("rtdtrading.rtdserver",, "PETR4_B_0", "ULT")</f>
        <v>#N/A</v>
      </c>
      <c r="C30" t="e">
        <f>RTD("rtdtrading.rtdserver",, "PETR4_B_0", "VAR")</f>
        <v>#N/A</v>
      </c>
      <c r="D30" t="e">
        <f>RTD("rtdtrading.rtdserver",, "PETR4_B_0", "NEG")</f>
        <v>#N/A</v>
      </c>
      <c r="E30" t="e">
        <f>RTD("rtdtrading.rtdserver",, "PETR4_B_0", "VOL")</f>
        <v>#N/A</v>
      </c>
    </row>
    <row r="31" spans="1:5" x14ac:dyDescent="0.25">
      <c r="A31" t="s">
        <v>50</v>
      </c>
      <c r="B31" t="e">
        <f>RTD("rtdtrading.rtdserver",, "PRIO3_B_0", "ULT")</f>
        <v>#N/A</v>
      </c>
      <c r="C31" t="e">
        <f>RTD("rtdtrading.rtdserver",, "PRIO3_B_0", "VAR")</f>
        <v>#N/A</v>
      </c>
      <c r="D31" t="e">
        <f>RTD("rtdtrading.rtdserver",, "PRIO3_B_0", "NEG")</f>
        <v>#N/A</v>
      </c>
      <c r="E31" t="e">
        <f>RTD("rtdtrading.rtdserver",, "PRIO3_B_0", "VOL")</f>
        <v>#N/A</v>
      </c>
    </row>
    <row r="32" spans="1:5" x14ac:dyDescent="0.25">
      <c r="A32" t="s">
        <v>51</v>
      </c>
      <c r="B32" t="e">
        <f>RTD("rtdtrading.rtdserver",, "RAIL3_B_0", "ULT")</f>
        <v>#N/A</v>
      </c>
      <c r="C32" t="e">
        <f>RTD("rtdtrading.rtdserver",, "RAIL3_B_0", "VAR")</f>
        <v>#N/A</v>
      </c>
      <c r="D32" t="e">
        <f>RTD("rtdtrading.rtdserver",, "RAIL3_B_0", "NEG")</f>
        <v>#N/A</v>
      </c>
      <c r="E32" t="e">
        <f>RTD("rtdtrading.rtdserver",, "RAIL3_B_0", "VOL")</f>
        <v>#N/A</v>
      </c>
    </row>
    <row r="33" spans="1:5" x14ac:dyDescent="0.25">
      <c r="A33" t="s">
        <v>52</v>
      </c>
      <c r="B33" t="e">
        <f>RTD("rtdtrading.rtdserver",, "RENT3_B_0", "ULT")</f>
        <v>#N/A</v>
      </c>
      <c r="C33" t="e">
        <f>RTD("rtdtrading.rtdserver",, "RENT3_B_0", "VAR")</f>
        <v>#N/A</v>
      </c>
      <c r="D33" t="e">
        <f>RTD("rtdtrading.rtdserver",, "RENT3_B_0", "NEG")</f>
        <v>#N/A</v>
      </c>
      <c r="E33" t="e">
        <f>RTD("rtdtrading.rtdserver",, "RENT3_B_0", "VOL")</f>
        <v>#N/A</v>
      </c>
    </row>
    <row r="34" spans="1:5" x14ac:dyDescent="0.25">
      <c r="A34" t="s">
        <v>53</v>
      </c>
      <c r="B34" t="e">
        <f>RTD("rtdtrading.rtdserver",, "SUZB3_B_0", "ULT")</f>
        <v>#N/A</v>
      </c>
      <c r="C34" t="e">
        <f>RTD("rtdtrading.rtdserver",, "SUZB3_B_0", "VAR")</f>
        <v>#N/A</v>
      </c>
      <c r="D34" t="e">
        <f>RTD("rtdtrading.rtdserver",, "SUZB3_B_0", "NEG")</f>
        <v>#N/A</v>
      </c>
      <c r="E34" t="e">
        <f>RTD("rtdtrading.rtdserver",, "SUZB3_B_0", "VOL")</f>
        <v>#N/A</v>
      </c>
    </row>
    <row r="35" spans="1:5" x14ac:dyDescent="0.25">
      <c r="A35" t="s">
        <v>54</v>
      </c>
      <c r="B35" t="e">
        <f>RTD("rtdtrading.rtdserver",, "VALE3_B_0", "ULT")</f>
        <v>#N/A</v>
      </c>
      <c r="C35" t="e">
        <f>RTD("rtdtrading.rtdserver",, "VALE3_B_0", "VAR")</f>
        <v>#N/A</v>
      </c>
      <c r="D35" t="e">
        <f>RTD("rtdtrading.rtdserver",, "VALE3_B_0", "NEG")</f>
        <v>#N/A</v>
      </c>
      <c r="E35" t="e">
        <f>RTD("rtdtrading.rtdserver",, "VALE3_B_0", "VOL")</f>
        <v>#N/A</v>
      </c>
    </row>
    <row r="36" spans="1:5" x14ac:dyDescent="0.25">
      <c r="A36" t="s">
        <v>55</v>
      </c>
      <c r="B36" t="e">
        <f>RTD("rtdtrading.rtdserver",, "WDOFUT_F_0", "ULT")</f>
        <v>#N/A</v>
      </c>
      <c r="C36" t="e">
        <f>RTD("rtdtrading.rtdserver",, "WDOFUT_F_0", "VAR")</f>
        <v>#N/A</v>
      </c>
      <c r="D36" t="e">
        <f>RTD("rtdtrading.rtdserver",, "WDOFUT_F_0", "NEG")</f>
        <v>#N/A</v>
      </c>
      <c r="E36" t="e">
        <f>RTD("rtdtrading.rtdserver",, "WDOFUT_F_0", "VOL")</f>
        <v>#N/A</v>
      </c>
    </row>
    <row r="37" spans="1:5" x14ac:dyDescent="0.25">
      <c r="A37" t="s">
        <v>56</v>
      </c>
      <c r="B37" t="e">
        <f>RTD("rtdtrading.rtdserver",, "WEGE3_B_0", "ULT")</f>
        <v>#N/A</v>
      </c>
      <c r="C37" t="e">
        <f>RTD("rtdtrading.rtdserver",, "WEGE3_B_0", "VAR")</f>
        <v>#N/A</v>
      </c>
      <c r="D37" t="e">
        <f>RTD("rtdtrading.rtdserver",, "WEGE3_B_0", "NEG")</f>
        <v>#N/A</v>
      </c>
      <c r="E37" t="e">
        <f>RTD("rtdtrading.rtdserver",, "WEGE3_B_0", "VOL")</f>
        <v>#N/A</v>
      </c>
    </row>
    <row r="38" spans="1:5" x14ac:dyDescent="0.25">
      <c r="A38" t="s">
        <v>57</v>
      </c>
      <c r="B38" t="e">
        <f>RTD("rtdtrading.rtdserver",, "WINFUT_F_0", "ULT")</f>
        <v>#N/A</v>
      </c>
      <c r="C38" t="e">
        <f>RTD("rtdtrading.rtdserver",, "WINFUT_F_0", "VAR")</f>
        <v>#N/A</v>
      </c>
      <c r="D38" t="e">
        <f>RTD("rtdtrading.rtdserver",, "WINFUT_F_0", "NEG")</f>
        <v>#N/A</v>
      </c>
      <c r="E38" t="e">
        <f>RTD("rtdtrading.rtdserver",, "WINFUT_F_0", "VOL")</f>
        <v>#N/A</v>
      </c>
    </row>
    <row r="39" spans="1:5" x14ac:dyDescent="0.25">
      <c r="A39" t="s">
        <v>58</v>
      </c>
      <c r="B39" t="e">
        <f>RTD("rtdtrading.rtdserver",, "IBOV_B_0", "ULT")</f>
        <v>#N/A</v>
      </c>
      <c r="C39" t="e">
        <f>RTD("rtdtrading.rtdserver",, "IBOV_B_0", "VAR")</f>
        <v>#N/A</v>
      </c>
      <c r="D39" t="e">
        <f>RTD("rtdtrading.rtdserver",, "IBOV_B_0", "NEG")</f>
        <v>#N/A</v>
      </c>
      <c r="E39" t="e">
        <f>RTD("rtdtrading.rtdserver",, "IBOV_B_0", "VOL")</f>
        <v>#N/A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LEIA-ME</vt:lpstr>
      <vt:lpstr>HISTORICO</vt:lpstr>
      <vt:lpstr>CONFIG_CAPTURA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deitos</dc:creator>
  <cp:lastModifiedBy>deitos</cp:lastModifiedBy>
  <dcterms:created xsi:type="dcterms:W3CDTF">2026-09-13T17:14:39Z</dcterms:created>
  <dcterms:modified xsi:type="dcterms:W3CDTF">2026-09-29T17:44:04Z</dcterms:modified>
</cp:coreProperties>
</file>