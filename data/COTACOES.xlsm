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showHorizontalScroll="0" showVerticalScroll="0" xWindow="0" yWindow="0" windowWidth="17256" windowHeight="8112" activeTab="2"/>
  </bookViews>
  <sheets>
    <sheet name="LEIA-ME" sheetId="1" r:id="rId1"/>
    <sheet name="HISTORICO" sheetId="2" r:id="rId2"/>
    <sheet name="CONFIG_CAPTURA" sheetId="3" r:id="rId3"/>
  </sheets>
  <calcPr calcId="162913"/>
</workbook>
</file>

<file path=xl/calcChain.xml><?xml version="1.0" encoding="utf-8"?>
<calcChain xmlns="http://schemas.openxmlformats.org/spreadsheetml/2006/main">
  <c r="C35" i="3" l="1"/>
  <c r="D37" i="3"/>
  <c r="C15" i="3"/>
  <c r="D21" i="3"/>
  <c r="C29" i="3"/>
  <c r="E11" i="3"/>
  <c r="E15" i="3"/>
  <c r="E36" i="3"/>
  <c r="B35" i="3"/>
  <c r="E22" i="3"/>
  <c r="E39" i="3"/>
  <c r="B32" i="3"/>
  <c r="B29" i="3"/>
  <c r="E12" i="3"/>
  <c r="D35" i="3"/>
  <c r="B31" i="3"/>
  <c r="D39" i="3"/>
  <c r="B12" i="3"/>
  <c r="D10" i="3"/>
  <c r="C27" i="3"/>
  <c r="D17" i="3"/>
  <c r="C16" i="3"/>
  <c r="B17" i="3"/>
  <c r="C14" i="3"/>
  <c r="E17" i="3"/>
  <c r="B19" i="3"/>
  <c r="B36" i="3"/>
  <c r="E26" i="3"/>
  <c r="B27" i="3"/>
  <c r="B28" i="3"/>
  <c r="D24" i="3"/>
  <c r="B39" i="3"/>
  <c r="B30" i="3"/>
  <c r="C23" i="3"/>
  <c r="B37" i="3"/>
  <c r="E20" i="3"/>
  <c r="B21" i="3"/>
  <c r="D15" i="3"/>
  <c r="D28" i="3"/>
  <c r="B18" i="3"/>
  <c r="B26" i="3"/>
  <c r="E38" i="3"/>
  <c r="B15" i="3"/>
  <c r="D23" i="3"/>
  <c r="C18" i="3"/>
  <c r="D26" i="3"/>
  <c r="B16" i="3"/>
  <c r="D13" i="3"/>
  <c r="B13" i="3"/>
  <c r="C38" i="3"/>
  <c r="E31" i="3"/>
  <c r="E32" i="3"/>
  <c r="C11" i="3"/>
  <c r="C37" i="3"/>
  <c r="C32" i="3"/>
  <c r="E34" i="3"/>
  <c r="E24" i="3"/>
  <c r="E27" i="3"/>
  <c r="E37" i="3"/>
  <c r="E33" i="3"/>
  <c r="D20" i="3"/>
  <c r="D14" i="3"/>
  <c r="D25" i="3"/>
  <c r="B33" i="3"/>
  <c r="B22" i="3"/>
  <c r="C26" i="3"/>
  <c r="E29" i="3"/>
  <c r="C22" i="3"/>
  <c r="E18" i="3"/>
  <c r="E16" i="3"/>
  <c r="C36" i="3"/>
  <c r="D34" i="3"/>
  <c r="D19" i="3"/>
  <c r="C34" i="3"/>
  <c r="C24" i="3"/>
  <c r="B34" i="3"/>
  <c r="D36" i="3"/>
  <c r="B38" i="3"/>
  <c r="B23" i="3"/>
  <c r="C30" i="3"/>
  <c r="D12" i="3"/>
  <c r="D33" i="3"/>
  <c r="C33" i="3"/>
  <c r="E14" i="3"/>
  <c r="B14" i="3"/>
  <c r="D16" i="3"/>
  <c r="B11" i="3"/>
  <c r="C39" i="3"/>
  <c r="D22" i="3"/>
  <c r="B25" i="3"/>
  <c r="C13" i="3"/>
  <c r="C28" i="3"/>
  <c r="D18" i="3"/>
  <c r="E13" i="3"/>
  <c r="E10" i="3"/>
  <c r="D31" i="3"/>
  <c r="E28" i="3"/>
  <c r="C10" i="3"/>
  <c r="B10" i="3"/>
  <c r="E23" i="3"/>
  <c r="C21" i="3"/>
  <c r="E35" i="3"/>
  <c r="D32" i="3"/>
  <c r="D27" i="3"/>
  <c r="B24" i="3"/>
  <c r="D11" i="3"/>
  <c r="C12" i="3"/>
  <c r="E19" i="3"/>
  <c r="C20" i="3"/>
  <c r="C19" i="3"/>
  <c r="B20" i="3"/>
  <c r="E21" i="3"/>
  <c r="C17" i="3"/>
  <c r="D30" i="3"/>
  <c r="E30" i="3"/>
  <c r="D38" i="3"/>
  <c r="C31" i="3"/>
  <c r="E25" i="3"/>
  <c r="D29" i="3"/>
  <c r="C25" i="3"/>
</calcChain>
</file>

<file path=xl/sharedStrings.xml><?xml version="1.0" encoding="utf-8"?>
<sst xmlns="http://schemas.openxmlformats.org/spreadsheetml/2006/main" count="63" uniqueCount="59">
  <si>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</si>
  <si>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</si>
  <si>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</si>
  <si>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</si>
  <si>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</si>
  <si>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</si>
  <si>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</si>
  <si>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</si>
  <si>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</si>
  <si>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</si>
  <si>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</si>
  <si>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</si>
  <si>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</si>
  <si>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</si>
  <si>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</si>
  <si>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</si>
  <si>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</si>
  <si>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</si>
  <si>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</si>
  <si>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</si>
  <si>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</si>
  <si>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</si>
  <si>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</si>
  <si>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</si>
  <si>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</si>
  <si>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</si>
  <si>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</si>
  <si>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</si>
  <si>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ABEV3</t>
  </si>
  <si>
    <t>AXIA3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</si>
  <si>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</si>
  <si>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</si>
  <si>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</si>
  <si>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</si>
  <si>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</si>
  <si>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</si>
  <si>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</si>
  <si>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</si>
  <si>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</si>
  <si>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DI1F32</t>
  </si>
  <si>
    <t>DI1F33</t>
  </si>
  <si>
    <t>DI1F34</t>
  </si>
  <si>
    <t>DI1F35</t>
  </si>
  <si>
    <t>DI1F36</t>
  </si>
  <si>
    <t>FRP0</t>
  </si>
  <si>
    <t>IFNC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</si>
  <si>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</si>
  <si>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</si>
  <si>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</si>
  <si>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</si>
  <si>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</si>
  <si>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</si>
  <si>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</si>
  <si>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</si>
  <si>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WDOFUT</t>
  </si>
  <si>
    <t>WEGE3</t>
  </si>
  <si>
    <t>WINFUT</t>
  </si>
  <si>
    <t>IBOV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</si>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</sst>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>
        <v>54477</v>
        <stp/>
        <stp>BBDC4_B_0</stp>
        <stp>NEG</stp>
        <tr r="D14" s="3"/>
      </tp>
      <tp>
        <v>17626</v>
        <stp/>
        <stp>ABEV3_B_0</stp>
        <stp>NEG</stp>
        <tr r="D10" s="3"/>
      </tp>
      <tp>
        <v>1063111</v>
        <stp/>
        <stp>IBOV_B_0</stp>
        <stp>NEG</stp>
        <tr r="D39" s="3"/>
      </tp>
      <tp>
        <v>12744</v>
        <stp/>
        <stp>WEGE3_B_0</stp>
        <stp>NEG</stp>
        <tr r="D37" s="3"/>
      </tp>
      <tp>
        <v>4919714</v>
        <stp/>
        <stp>WINFUT_F_0</stp>
        <stp>NEG</stp>
        <tr r="D38" s="3"/>
      </tp>
      <tp>
        <v>350844</v>
        <stp/>
        <stp>WDOFUT_F_0</stp>
        <stp>NEG</stp>
        <tr r="D36" s="3"/>
      </tp>
      <tp>
        <v>7282</v>
        <stp/>
        <stp>DI1F27_F_0</stp>
        <stp>NEG</stp>
        <tr r="D16" s="3"/>
      </tp>
      <tp>
        <v>30657</v>
        <stp/>
        <stp>DI1F28_F_0</stp>
        <stp>NEG</stp>
        <tr r="D17" s="3"/>
      </tp>
      <tp>
        <v>33721</v>
        <stp/>
        <stp>DI1F29_F_0</stp>
        <stp>NEG</stp>
        <tr r="D18" s="3"/>
      </tp>
      <tp>
        <v>7227</v>
        <stp/>
        <stp>DI1F32_F_0</stp>
        <stp>NEG</stp>
        <tr r="D21" s="3"/>
      </tp>
      <tp>
        <v>10605</v>
        <stp/>
        <stp>DI1F33_F_0</stp>
        <stp>NEG</stp>
        <tr r="D22" s="3"/>
      </tp>
      <tp>
        <v>14724</v>
        <stp/>
        <stp>DI1F30_F_0</stp>
        <stp>NEG</stp>
        <tr r="D19" s="3"/>
      </tp>
      <tp>
        <v>24815</v>
        <stp/>
        <stp>DI1F31_F_0</stp>
        <stp>NEG</stp>
        <tr r="D20" s="3"/>
      </tp>
      <tp>
        <v>138</v>
        <stp/>
        <stp>DI1F36_F_0</stp>
        <stp>NEG</stp>
        <tr r="D25" s="3"/>
      </tp>
      <tp>
        <v>197</v>
        <stp/>
        <stp>DI1F34_F_0</stp>
        <stp>NEG</stp>
        <tr r="D23" s="3"/>
      </tp>
      <tp>
        <v>8932</v>
        <stp/>
        <stp>DI1F35_F_0</stp>
        <stp>NEG</stp>
        <tr r="D24" s="3"/>
      </tp>
      <tp>
        <v>28719</v>
        <stp/>
        <stp>BBAS3_B_0</stp>
        <stp>NEG</stp>
        <tr r="D13" s="3"/>
      </tp>
      <tp>
        <v>42.06</v>
        <stp/>
        <stp>SUZB3_B_0</stp>
        <stp>ULT</stp>
        <tr r="B34" s="3"/>
      </tp>
      <tp>
        <v>29780</v>
        <stp/>
        <stp>BPAC11_B_0</stp>
        <stp>NEG</stp>
        <tr r="D15" s="3"/>
      </tp>
      <tp>
        <v>0.81495685522531969</v>
        <stp/>
        <stp>SUZB3_B_0</stp>
        <stp>VAR</stp>
        <tr r="C34" s="3"/>
      </tp>
      <tp>
        <v>103234352</v>
        <stp/>
        <stp>SUZB3_B_0</stp>
        <stp>VOL</stp>
        <tr r="E34" s="3"/>
      </tp>
      <tp>
        <v>238502</v>
        <stp/>
        <stp>IFNC_B_0</stp>
        <stp>NEG</stp>
        <tr r="D27" s="3"/>
      </tp>
      <tp>
        <v>0.29728725380898663</v>
        <stp/>
        <stp>PETR4_B_0</stp>
        <stp>VAR</stp>
        <tr r="C30" s="3"/>
      </tp>
      <tp>
        <v>1182641301</v>
        <stp/>
        <stp>PETR4_B_0</stp>
        <stp>VOL</stp>
        <tr r="E30" s="3"/>
      </tp>
      <tp>
        <v>34543</v>
        <stp/>
        <stp>VALE3_B_0</stp>
        <stp>NEG</stp>
        <tr r="D35" s="3"/>
      </tp>
      <tp>
        <v>-1.4073339940535199</v>
        <stp/>
        <stp>ITUB4_B_0</stp>
        <stp>VAR</stp>
        <tr r="C29" s="3"/>
      </tp>
      <tp>
        <v>839284073</v>
        <stp/>
        <stp>ITUB4_B_0</stp>
        <stp>VOL</stp>
        <tr r="E29" s="3"/>
      </tp>
      <tp>
        <v>26054</v>
        <stp/>
        <stp>RENT3_B_0</stp>
        <stp>NEG</stp>
        <tr r="D33" s="3"/>
      </tp>
      <tp>
        <v>49.74</v>
        <stp/>
        <stp>ITUB4_B_0</stp>
        <stp>ULT</stp>
        <tr r="B29" s="3"/>
      </tp>
      <tp>
        <v>53.98</v>
        <stp/>
        <stp>PETR4_B_0</stp>
        <stp>ULT</stp>
        <tr r="B30" s="3"/>
      </tp>
      <tp>
        <v>16.21</v>
        <stp/>
        <stp>ITSA4_B_0</stp>
        <stp>ULT</stp>
        <tr r="B28" s="3"/>
      </tp>
      <tp>
        <v>22.62</v>
        <stp/>
        <stp>B3SA3_B_0</stp>
        <stp>ULT</stp>
        <tr r="B12" s="3"/>
      </tp>
      <tp>
        <v>21.2</v>
        <stp/>
        <stp>FRP0_F_0</stp>
        <stp>ULT</stp>
        <tr r="B26" s="3"/>
      </tp>
      <tp>
        <v>28118</v>
        <stp/>
        <stp>AXIA3_B_0</stp>
        <stp>NEG</stp>
        <tr r="D11" s="3"/>
      </tp>
      <tp>
        <v>9727</v>
        <stp/>
        <stp>PRIO3_B_0</stp>
        <stp>NEG</stp>
        <tr r="D31" s="3"/>
      </tp>
      <tp>
        <v>11833</v>
        <stp/>
        <stp>RAIL3_B_0</stp>
        <stp>NEG</stp>
        <tr r="D32" s="3"/>
      </tp>
      <tp>
        <v>-10.169491525423737</v>
        <stp/>
        <stp>FRP0_F_0</stp>
        <stp>VAR</stp>
        <tr r="C26" s="3"/>
      </tp>
      <tp>
        <v>273440</v>
        <stp/>
        <stp>FRP0_F_0</stp>
        <stp>VOL</stp>
        <tr r="E26" s="3"/>
      </tp>
      <tp>
        <v>-1.9951632406287685</v>
        <stp/>
        <stp>ITSA4_B_0</stp>
        <stp>VAR</stp>
        <tr r="C28" s="3"/>
      </tp>
      <tp>
        <v>-0.26455026455025887</v>
        <stp/>
        <stp>B3SA3_B_0</stp>
        <stp>VAR</stp>
        <tr r="C12" s="3"/>
      </tp>
      <tp>
        <v>586945361</v>
        <stp/>
        <stp>B3SA3_B_0</stp>
        <stp>VOL</stp>
        <tr r="E12" s="3"/>
      </tp>
      <tp>
        <v>254407148</v>
        <stp/>
        <stp>ITSA4_B_0</stp>
        <stp>VOL</stp>
        <tr r="E28" s="3"/>
      </tp>
      <tp>
        <v>29356</v>
        <stp/>
        <stp>PETR4_B_0</stp>
        <stp>NEG</stp>
        <tr r="D30" s="3"/>
      </tp>
      <tp>
        <v>-2.7426460139263984</v>
        <stp/>
        <stp>VALE3_B_0</stp>
        <stp>VAR</stp>
        <tr r="C35" s="3"/>
      </tp>
      <tp>
        <v>1258022186</v>
        <stp/>
        <stp>VALE3_B_0</stp>
        <stp>VOL</stp>
        <tr r="E35" s="3"/>
      </tp>
      <tp>
        <v>50.29</v>
        <stp/>
        <stp>RENT3_B_0</stp>
        <stp>ULT</stp>
        <tr r="B33" s="3"/>
      </tp>
      <tp>
        <v>33099</v>
        <stp/>
        <stp>ITUB4_B_0</stp>
        <stp>NEG</stp>
        <tr r="D29" s="3"/>
      </tp>
      <tp>
        <v>0.62024809923968616</v>
        <stp/>
        <stp>RENT3_B_0</stp>
        <stp>VAR</stp>
        <tr r="C33" s="3"/>
      </tp>
      <tp>
        <v>360103412</v>
        <stp/>
        <stp>RENT3_B_0</stp>
        <stp>VOL</stp>
        <tr r="E33" s="3"/>
      </tp>
      <tp>
        <v>68.44</v>
        <stp/>
        <stp>VALE3_B_0</stp>
        <stp>ULT</stp>
        <tr r="B35" s="3"/>
      </tp>
      <tp>
        <v>85654026</v>
        <stp/>
        <stp>RAIL3_B_0</stp>
        <stp>VOL</stp>
        <tr r="E32" s="3"/>
      </tp>
      <tp>
        <v>168118537</v>
        <stp/>
        <stp>PRIO3_B_0</stp>
        <stp>VOL</stp>
        <tr r="E31" s="3"/>
      </tp>
      <tp>
        <v>0.4539340954942771</v>
        <stp/>
        <stp>AXIA3_B_0</stp>
        <stp>VAR</stp>
        <tr r="C11" s="3"/>
      </tp>
      <tp>
        <v>521383711</v>
        <stp/>
        <stp>AXIA3_B_0</stp>
        <stp>VOL</stp>
        <tr r="E11" s="3"/>
      </tp>
      <tp>
        <v>0.93473005640612117</v>
        <stp/>
        <stp>PRIO3_B_0</stp>
        <stp>VAR</stp>
        <tr r="C31" s="3"/>
      </tp>
      <tp>
        <v>0.87623220153340697</v>
        <stp/>
        <stp>RAIL3_B_0</stp>
        <stp>VAR</stp>
        <tr r="C32" s="3"/>
      </tp>
      <tp>
        <v>107</v>
        <stp/>
        <stp>FRP0_F_0</stp>
        <stp>NEG</stp>
        <tr r="D26" s="3"/>
      </tp>
      <tp>
        <v>62.63</v>
        <stp/>
        <stp>PRIO3_B_0</stp>
        <stp>ULT</stp>
        <tr r="B31" s="3"/>
      </tp>
      <tp>
        <v>18.420000000000002</v>
        <stp/>
        <stp>RAIL3_B_0</stp>
        <stp>ULT</stp>
        <tr r="B32" s="3"/>
      </tp>
      <tp>
        <v>59.75</v>
        <stp/>
        <stp>AXIA3_B_0</stp>
        <stp>ULT</stp>
        <tr r="B11" s="3"/>
      </tp>
      <tp>
        <v>23063</v>
        <stp/>
        <stp>ITSA4_B_0</stp>
        <stp>NEG</stp>
        <tr r="D28" s="3"/>
      </tp>
      <tp>
        <v>33430</v>
        <stp/>
        <stp>B3SA3_B_0</stp>
        <stp>NEG</stp>
        <tr r="D12" s="3"/>
      </tp>
      <tp>
        <v>-2.1052631578947385</v>
        <stp/>
        <stp>BBDC4_B_0</stp>
        <stp>VAR</stp>
        <tr r="C14" s="3"/>
      </tp>
      <tp>
        <v>1216853412</v>
        <stp/>
        <stp>BBDC4_B_0</stp>
        <stp>VOL</stp>
        <tr r="E14" s="3"/>
      </tp>
      <tp>
        <v>51.1</v>
        <stp/>
        <stp>WEGE3_B_0</stp>
        <stp>ULT</stp>
        <tr r="B37" s="3"/>
      </tp>
      <tp>
        <v>-1.5999999999999988</v>
        <stp/>
        <stp>ABEV3_B_0</stp>
        <stp>VAR</stp>
        <tr r="C10" s="3"/>
      </tp>
      <tp>
        <v>332415313</v>
        <stp/>
        <stp>ABEV3_B_0</stp>
        <stp>VOL</stp>
        <tr r="E10" s="3"/>
      </tp>
      <tp>
        <v>204743.19</v>
        <stp/>
        <stp>IBOV_B_0</stp>
        <stp>ULT</stp>
        <tr r="B39" s="3"/>
      </tp>
      <tp>
        <v>15.99</v>
        <stp/>
        <stp>ABEV3_B_0</stp>
        <stp>ULT</stp>
        <tr r="B10" s="3"/>
      </tp>
      <tp>
        <v>15414014456</v>
        <stp/>
        <stp>IBOV_B_0</stp>
        <stp>VOL</stp>
        <tr r="E39" s="3"/>
      </tp>
      <tp>
        <v>-0.53056985514971988</v>
        <stp/>
        <stp>IBOV_B_0</stp>
        <stp>VAR</stp>
        <tr r="C39" s="3"/>
      </tp>
      <tp>
        <v>0.68965517241379581</v>
        <stp/>
        <stp>WEGE3_B_0</stp>
        <stp>VAR</stp>
        <tr r="C37" s="3"/>
      </tp>
      <tp>
        <v>22.32</v>
        <stp/>
        <stp>BBDC4_B_0</stp>
        <stp>ULT</stp>
        <tr r="B14" s="3"/>
      </tp>
      <tp>
        <v>215114943</v>
        <stp/>
        <stp>WEGE3_B_0</stp>
        <stp>VOL</stp>
        <tr r="E37" s="3"/>
      </tp>
      <tp>
        <v>-0.59362279511533245</v>
        <stp/>
        <stp>WINFUT_F_0</stp>
        <stp>VAR</stp>
        <tr r="C38" s="3"/>
      </tp>
      <tp>
        <v>0.3096903096903097</v>
        <stp/>
        <stp>WDOFUT_F_0</stp>
        <stp>VAR</stp>
        <tr r="C36" s="3"/>
      </tp>
      <tp>
        <v>80868532800</v>
        <stp/>
        <stp>WDOFUT_F_0</stp>
        <stp>VOL</stp>
        <tr r="E36" s="3"/>
      </tp>
      <tp>
        <v>581536583329</v>
        <stp/>
        <stp>WINFUT_F_0</stp>
        <stp>VOL</stp>
        <tr r="E38" s="3"/>
      </tp>
      <tp>
        <v>0.134048257372646</v>
        <stp/>
        <stp>DI1F27_F_0</stp>
        <stp>VAR</stp>
        <tr r="C16" s="3"/>
      </tp>
      <tp>
        <v>-8.0353555644835567E-2</v>
        <stp/>
        <stp>DI1F29_F_0</stp>
        <stp>VAR</stp>
        <tr r="C18" s="3"/>
      </tp>
      <tp>
        <v>-1.4098070153970241E-14</v>
        <stp/>
        <stp>DI1F28_F_0</stp>
        <stp>VAR</stp>
        <tr r="C17" s="3"/>
      </tp>
      <tp>
        <v>0.47225501770955297</v>
        <stp/>
        <stp>DI1F36_F_0</stp>
        <stp>VAR</stp>
        <tr r="C25" s="3"/>
      </tp>
      <tp>
        <v>0.31421838177532718</v>
        <stp/>
        <stp>DI1F35_F_0</stp>
        <stp>VAR</stp>
        <tr r="C24" s="3"/>
      </tp>
      <tp>
        <v>0.4720692368213904</v>
        <stp/>
        <stp>DI1F34_F_0</stp>
        <stp>VAR</stp>
        <tr r="C23" s="3"/>
      </tp>
      <tp>
        <v>0.35405192761604981</v>
        <stp/>
        <stp>DI1F33_F_0</stp>
        <stp>VAR</stp>
        <tr r="C22" s="3"/>
      </tp>
      <tp>
        <v>0.27635215159888166</v>
        <stp/>
        <stp>DI1F32_F_0</stp>
        <stp>VAR</stp>
        <tr r="C21" s="3"/>
      </tp>
      <tp>
        <v>0.35828025477706948</v>
        <stp/>
        <stp>DI1F31_F_0</stp>
        <stp>VAR</stp>
        <tr r="C20" s="3"/>
      </tp>
      <tp>
        <v>0.15987210231812785</v>
        <stp/>
        <stp>DI1F30_F_0</stp>
        <stp>VAR</stp>
        <tr r="C19" s="3"/>
      </tp>
      <tp>
        <v>34260945449.860001</v>
        <stp/>
        <stp>DI1F29_F_0</stp>
        <stp>VOL</stp>
        <tr r="E18" s="3"/>
      </tp>
      <tp>
        <v>36178024540.239998</v>
        <stp/>
        <stp>DI1F28_F_0</stp>
        <stp>VOL</stp>
        <tr r="E17" s="3"/>
      </tp>
      <tp>
        <v>24356286181.68</v>
        <stp/>
        <stp>DI1F27_F_0</stp>
        <stp>VOL</stp>
        <tr r="E16" s="3"/>
      </tp>
      <tp>
        <v>14742925526.68</v>
        <stp/>
        <stp>DI1F31_F_0</stp>
        <stp>VOL</stp>
        <tr r="E20" s="3"/>
      </tp>
      <tp>
        <v>6455142076.4399996</v>
        <stp/>
        <stp>DI1F30_F_0</stp>
        <stp>VOL</stp>
        <tr r="E19" s="3"/>
      </tp>
      <tp>
        <v>2528950613.1700001</v>
        <stp/>
        <stp>DI1F33_F_0</stp>
        <stp>VOL</stp>
        <tr r="E22" s="3"/>
      </tp>
      <tp>
        <v>2315753791.1599998</v>
        <stp/>
        <stp>DI1F32_F_0</stp>
        <stp>VOL</stp>
        <tr r="E21" s="3"/>
      </tp>
      <tp>
        <v>1780406228.8699999</v>
        <stp/>
        <stp>DI1F35_F_0</stp>
        <stp>VOL</stp>
        <tr r="E24" s="3"/>
      </tp>
      <tp>
        <v>28737956.489999998</v>
        <stp/>
        <stp>DI1F34_F_0</stp>
        <stp>VOL</stp>
        <tr r="E23" s="3"/>
      </tp>
      <tp>
        <v>7352567.0599999996</v>
        <stp/>
        <stp>DI1F36_F_0</stp>
        <stp>VOL</stp>
        <tr r="E25" s="3"/>
      </tp>
      <tp>
        <v>-1.3798701298701292</v>
        <stp/>
        <stp>BBAS3_B_0</stp>
        <stp>VAR</stp>
        <tr r="C13" s="3"/>
      </tp>
      <tp>
        <v>572886668</v>
        <stp/>
        <stp>BBAS3_B_0</stp>
        <stp>VOL</stp>
        <tr r="E13" s="3"/>
      </tp>
      <tp>
        <v>23336.55</v>
        <stp/>
        <stp>IFNC_B_0</stp>
        <stp>ULT</stp>
        <tr r="B27" s="3"/>
      </tp>
      <tp>
        <v>-1.1829051132027559</v>
        <stp/>
        <stp>BPAC11_B_0</stp>
        <stp>VAR</stp>
        <tr r="C15" s="3"/>
      </tp>
      <tp>
        <v>637657602</v>
        <stp/>
        <stp>BPAC11_B_0</stp>
        <stp>VOL</stp>
        <tr r="E15" s="3"/>
      </tp>
      <tp>
        <v>24.3</v>
        <stp/>
        <stp>BBAS3_B_0</stp>
        <stp>ULT</stp>
        <tr r="B13" s="3"/>
      </tp>
      <tp>
        <v>9739</v>
        <stp/>
        <stp>SUZB3_B_0</stp>
        <stp>NEG</stp>
        <tr r="D34" s="3"/>
      </tp>
      <tp>
        <v>4497053272</v>
        <stp/>
        <stp>IFNC_B_0</stp>
        <stp>VOL</stp>
        <tr r="E27" s="3"/>
      </tp>
      <tp>
        <v>-1.1624656622204426</v>
        <stp/>
        <stp>IFNC_B_0</stp>
        <stp>VAR</stp>
        <tr r="C27" s="3"/>
      </tp>
      <tp>
        <v>77.69</v>
        <stp/>
        <stp>BPAC11_B_0</stp>
        <stp>ULT</stp>
        <tr r="B15" s="3"/>
      </tp>
      <tp>
        <v>205135</v>
        <stp/>
        <stp>WINFUT_F_0</stp>
        <stp>ULT</stp>
        <tr r="B38" s="3"/>
      </tp>
      <tp>
        <v>5020.5</v>
        <stp/>
        <stp>WDOFUT_F_0</stp>
        <stp>ULT</stp>
        <tr r="B36" s="3"/>
      </tp>
      <tp>
        <v>12.605</v>
        <stp/>
        <stp>DI1F31_F_0</stp>
        <stp>ULT</stp>
        <tr r="B20" s="3"/>
      </tp>
      <tp>
        <v>12.53</v>
        <stp/>
        <stp>DI1F30_F_0</stp>
        <stp>ULT</stp>
        <tr r="B19" s="3"/>
      </tp>
      <tp>
        <v>12.755000000000001</v>
        <stp/>
        <stp>DI1F33_F_0</stp>
        <stp>ULT</stp>
        <tr r="B22" s="3"/>
      </tp>
      <tp>
        <v>12.7</v>
        <stp/>
        <stp>DI1F32_F_0</stp>
        <stp>ULT</stp>
        <tr r="B21" s="3"/>
      </tp>
      <tp>
        <v>12.77</v>
        <stp/>
        <stp>DI1F35_F_0</stp>
        <stp>ULT</stp>
        <tr r="B24" s="3"/>
      </tp>
      <tp>
        <v>12.77</v>
        <stp/>
        <stp>DI1F34_F_0</stp>
        <stp>ULT</stp>
        <tr r="B23" s="3"/>
      </tp>
      <tp>
        <v>12.765000000000001</v>
        <stp/>
        <stp>DI1F36_F_0</stp>
        <stp>ULT</stp>
        <tr r="B25" s="3"/>
      </tp>
      <tp>
        <v>13.446</v>
        <stp/>
        <stp>DI1F27_F_0</stp>
        <stp>ULT</stp>
        <tr r="B16" s="3"/>
      </tp>
      <tp>
        <v>12.435</v>
        <stp/>
        <stp>DI1F29_F_0</stp>
        <stp>ULT</stp>
        <tr r="B18" s="3"/>
      </tp>
      <tp>
        <v>12.6</v>
        <stp/>
        <stp>DI1F28_F_0</stp>
        <stp>ULT</stp>
        <tr r="B17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zoomScaleNormal="100" workbookViewId="0">
      <selection activeCell="B11" sqref="B11"/>
    </sheetView>
  </sheetViews>
  <sheetFormatPr defaultRowHeight="14.4" x14ac:dyDescent="0.3"/>
  <cols>
    <col min="1" max="1" width="8" customWidth="1"/>
    <col min="2" max="2" width="115" customWidth="1"/>
  </cols>
  <sheetData>
    <row r="1" spans="1:2" x14ac:dyDescent="0.3">
      <c r="A1" t="s">
        <v>0</v>
      </c>
    </row>
    <row r="2" spans="1:2" x14ac:dyDescent="0.3">
      <c r="A2" t="s">
        <v>1</v>
      </c>
      <c r="B2" t="s">
        <v>2</v>
      </c>
    </row>
    <row r="3" spans="1:2" x14ac:dyDescent="0.3">
      <c r="A3" t="s">
        <v>3</v>
      </c>
      <c r="B3" t="s">
        <v>4</v>
      </c>
    </row>
    <row r="4" spans="1:2" x14ac:dyDescent="0.3">
      <c r="A4" t="s">
        <v>5</v>
      </c>
      <c r="B4" t="s">
        <v>6</v>
      </c>
    </row>
    <row r="5" spans="1:2" x14ac:dyDescent="0.3">
      <c r="A5" t="s">
        <v>7</v>
      </c>
      <c r="B5" t="s">
        <v>8</v>
      </c>
    </row>
    <row r="6" spans="1:2" x14ac:dyDescent="0.3">
      <c r="A6" t="s">
        <v>9</v>
      </c>
      <c r="B6" t="s">
        <v>10</v>
      </c>
    </row>
    <row r="7" spans="1:2" x14ac:dyDescent="0.3">
      <c r="A7" t="s">
        <v>11</v>
      </c>
      <c r="B7" t="s">
        <v>12</v>
      </c>
    </row>
    <row r="8" spans="1:2" x14ac:dyDescent="0.3">
      <c r="A8" t="s">
        <v>13</v>
      </c>
      <c r="B8" t="s">
        <v>14</v>
      </c>
    </row>
  </sheetData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3">
      <c r="A1" s="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39"/>
  <sheetViews>
    <sheetView tabSelected="1" topLeftCell="A9" workbookViewId="0">
      <selection activeCell="A9" sqref="A9"/>
    </sheetView>
  </sheetViews>
  <sheetFormatPr defaultRowHeight="14.4" x14ac:dyDescent="0.3"/>
  <cols>
    <col min="1" max="1" width="24" customWidth="1"/>
    <col min="2" max="2" width="18" customWidth="1"/>
    <col min="3" max="5" width="13" customWidth="1"/>
  </cols>
  <sheetData>
    <row r="1" spans="1:5" x14ac:dyDescent="0.3">
      <c r="A1" t="s">
        <v>22</v>
      </c>
    </row>
    <row r="2" spans="1:5" x14ac:dyDescent="0.3">
      <c r="A2" t="s">
        <v>23</v>
      </c>
      <c r="B2">
        <v>1</v>
      </c>
    </row>
    <row r="4" spans="1:5" x14ac:dyDescent="0.3">
      <c r="A4" t="s">
        <v>24</v>
      </c>
    </row>
    <row r="5" spans="1:5" x14ac:dyDescent="0.3">
      <c r="A5" t="s">
        <v>25</v>
      </c>
    </row>
    <row r="6" spans="1:5" x14ac:dyDescent="0.3">
      <c r="A6" t="s">
        <v>26</v>
      </c>
    </row>
    <row r="7" spans="1:5" x14ac:dyDescent="0.3">
      <c r="A7" t="s">
        <v>27</v>
      </c>
    </row>
    <row r="9" spans="1:5" x14ac:dyDescent="0.3">
      <c r="A9" t="s">
        <v>58</v>
      </c>
      <c r="B9" t="s">
        <v>18</v>
      </c>
      <c r="C9" t="s">
        <v>19</v>
      </c>
      <c r="D9" t="s">
        <v>20</v>
      </c>
      <c r="E9" t="s">
        <v>21</v>
      </c>
    </row>
    <row r="10" spans="1:5" x14ac:dyDescent="0.3">
      <c r="A10" t="s">
        <v>28</v>
      </c>
      <c r="B10">
        <f>RTD("rtdtrading.rtdserver",, "ABEV3_B_0", "ULT")</f>
        <v>15.99</v>
      </c>
      <c r="C10">
        <f>RTD("rtdtrading.rtdserver",, "ABEV3_B_0", "VAR")</f>
        <v>-1.5999999999999988</v>
      </c>
      <c r="D10">
        <f>RTD("rtdtrading.rtdserver",, "ABEV3_B_0", "NEG")</f>
        <v>17626</v>
      </c>
      <c r="E10">
        <f>RTD("rtdtrading.rtdserver",, "ABEV3_B_0", "VOL")</f>
        <v>332415313</v>
      </c>
    </row>
    <row r="11" spans="1:5" x14ac:dyDescent="0.3">
      <c r="A11" t="s">
        <v>29</v>
      </c>
      <c r="B11">
        <f>RTD("rtdtrading.rtdserver",, "AXIA3_B_0", "ULT")</f>
        <v>59.75</v>
      </c>
      <c r="C11">
        <f>RTD("rtdtrading.rtdserver",, "AXIA3_B_0", "VAR")</f>
        <v>0.4539340954942771</v>
      </c>
      <c r="D11">
        <f>RTD("rtdtrading.rtdserver",, "AXIA3_B_0", "NEG")</f>
        <v>28118</v>
      </c>
      <c r="E11">
        <f>RTD("rtdtrading.rtdserver",, "AXIA3_B_0", "VOL")</f>
        <v>521383711</v>
      </c>
    </row>
    <row r="12" spans="1:5" x14ac:dyDescent="0.3">
      <c r="A12" t="s">
        <v>30</v>
      </c>
      <c r="B12">
        <f>RTD("rtdtrading.rtdserver",, "B3SA3_B_0", "ULT")</f>
        <v>22.62</v>
      </c>
      <c r="C12">
        <f>RTD("rtdtrading.rtdserver",, "B3SA3_B_0", "VAR")</f>
        <v>-0.26455026455025887</v>
      </c>
      <c r="D12">
        <f>RTD("rtdtrading.rtdserver",, "B3SA3_B_0", "NEG")</f>
        <v>33430</v>
      </c>
      <c r="E12">
        <f>RTD("rtdtrading.rtdserver",, "B3SA3_B_0", "VOL")</f>
        <v>586945361</v>
      </c>
    </row>
    <row r="13" spans="1:5" x14ac:dyDescent="0.3">
      <c r="A13" t="s">
        <v>31</v>
      </c>
      <c r="B13">
        <f>RTD("rtdtrading.rtdserver",, "BBAS3_B_0", "ULT")</f>
        <v>24.3</v>
      </c>
      <c r="C13">
        <f>RTD("rtdtrading.rtdserver",, "BBAS3_B_0", "VAR")</f>
        <v>-1.3798701298701292</v>
      </c>
      <c r="D13">
        <f>RTD("rtdtrading.rtdserver",, "BBAS3_B_0", "NEG")</f>
        <v>28719</v>
      </c>
      <c r="E13">
        <f>RTD("rtdtrading.rtdserver",, "BBAS3_B_0", "VOL")</f>
        <v>572886668</v>
      </c>
    </row>
    <row r="14" spans="1:5" x14ac:dyDescent="0.3">
      <c r="A14" t="s">
        <v>32</v>
      </c>
      <c r="B14">
        <f>RTD("rtdtrading.rtdserver",, "BBDC4_B_0", "ULT")</f>
        <v>22.32</v>
      </c>
      <c r="C14">
        <f>RTD("rtdtrading.rtdserver",, "BBDC4_B_0", "VAR")</f>
        <v>-2.1052631578947385</v>
      </c>
      <c r="D14">
        <f>RTD("rtdtrading.rtdserver",, "BBDC4_B_0", "NEG")</f>
        <v>54477</v>
      </c>
      <c r="E14">
        <f>RTD("rtdtrading.rtdserver",, "BBDC4_B_0", "VOL")</f>
        <v>1216853412</v>
      </c>
    </row>
    <row r="15" spans="1:5" x14ac:dyDescent="0.3">
      <c r="A15" t="s">
        <v>33</v>
      </c>
      <c r="B15">
        <f>RTD("rtdtrading.rtdserver",, "BPAC11_B_0", "ULT")</f>
        <v>77.69</v>
      </c>
      <c r="C15">
        <f>RTD("rtdtrading.rtdserver",, "BPAC11_B_0", "VAR")</f>
        <v>-1.1829051132027559</v>
      </c>
      <c r="D15">
        <f>RTD("rtdtrading.rtdserver",, "BPAC11_B_0", "NEG")</f>
        <v>29780</v>
      </c>
      <c r="E15">
        <f>RTD("rtdtrading.rtdserver",, "BPAC11_B_0", "VOL")</f>
        <v>637657602</v>
      </c>
    </row>
    <row r="16" spans="1:5" x14ac:dyDescent="0.3">
      <c r="A16" t="s">
        <v>34</v>
      </c>
      <c r="B16">
        <f>RTD("rtdtrading.rtdserver",, "DI1F27_F_0", "ULT")</f>
        <v>13.446</v>
      </c>
      <c r="C16">
        <f>RTD("rtdtrading.rtdserver",, "DI1F27_F_0", "VAR")</f>
        <v>0.134048257372646</v>
      </c>
      <c r="D16">
        <f>RTD("rtdtrading.rtdserver",, "DI1F27_F_0", "NEG")</f>
        <v>7282</v>
      </c>
      <c r="E16">
        <f>RTD("rtdtrading.rtdserver",, "DI1F27_F_0", "VOL")</f>
        <v>24356286181.68</v>
      </c>
    </row>
    <row r="17" spans="1:5" x14ac:dyDescent="0.3">
      <c r="A17" t="s">
        <v>35</v>
      </c>
      <c r="B17">
        <f>RTD("rtdtrading.rtdserver",, "DI1F28_F_0", "ULT")</f>
        <v>12.6</v>
      </c>
      <c r="C17">
        <f>RTD("rtdtrading.rtdserver",, "DI1F28_F_0", "VAR")</f>
        <v>-1.4098070153970241E-14</v>
      </c>
      <c r="D17">
        <f>RTD("rtdtrading.rtdserver",, "DI1F28_F_0", "NEG")</f>
        <v>30657</v>
      </c>
      <c r="E17">
        <f>RTD("rtdtrading.rtdserver",, "DI1F28_F_0", "VOL")</f>
        <v>36178024540.239998</v>
      </c>
    </row>
    <row r="18" spans="1:5" x14ac:dyDescent="0.3">
      <c r="A18" t="s">
        <v>36</v>
      </c>
      <c r="B18">
        <f>RTD("rtdtrading.rtdserver",, "DI1F29_F_0", "ULT")</f>
        <v>12.435</v>
      </c>
      <c r="C18">
        <f>RTD("rtdtrading.rtdserver",, "DI1F29_F_0", "VAR")</f>
        <v>-8.0353555644835567E-2</v>
      </c>
      <c r="D18">
        <f>RTD("rtdtrading.rtdserver",, "DI1F29_F_0", "NEG")</f>
        <v>33721</v>
      </c>
      <c r="E18">
        <f>RTD("rtdtrading.rtdserver",, "DI1F29_F_0", "VOL")</f>
        <v>34260945449.860001</v>
      </c>
    </row>
    <row r="19" spans="1:5" x14ac:dyDescent="0.3">
      <c r="A19" t="s">
        <v>37</v>
      </c>
      <c r="B19">
        <f>RTD("rtdtrading.rtdserver",, "DI1F30_F_0", "ULT")</f>
        <v>12.53</v>
      </c>
      <c r="C19">
        <f>RTD("rtdtrading.rtdserver",, "DI1F30_F_0", "VAR")</f>
        <v>0.15987210231812785</v>
      </c>
      <c r="D19">
        <f>RTD("rtdtrading.rtdserver",, "DI1F30_F_0", "NEG")</f>
        <v>14724</v>
      </c>
      <c r="E19">
        <f>RTD("rtdtrading.rtdserver",, "DI1F30_F_0", "VOL")</f>
        <v>6455142076.4399996</v>
      </c>
    </row>
    <row r="20" spans="1:5" x14ac:dyDescent="0.3">
      <c r="A20" t="s">
        <v>38</v>
      </c>
      <c r="B20">
        <f>RTD("rtdtrading.rtdserver",, "DI1F31_F_0", "ULT")</f>
        <v>12.605</v>
      </c>
      <c r="C20">
        <f>RTD("rtdtrading.rtdserver",, "DI1F31_F_0", "VAR")</f>
        <v>0.35828025477706948</v>
      </c>
      <c r="D20">
        <f>RTD("rtdtrading.rtdserver",, "DI1F31_F_0", "NEG")</f>
        <v>24815</v>
      </c>
      <c r="E20">
        <f>RTD("rtdtrading.rtdserver",, "DI1F31_F_0", "VOL")</f>
        <v>14742925526.68</v>
      </c>
    </row>
    <row r="21" spans="1:5" x14ac:dyDescent="0.3">
      <c r="A21" t="s">
        <v>39</v>
      </c>
      <c r="B21">
        <f>RTD("rtdtrading.rtdserver",, "DI1F32_F_0", "ULT")</f>
        <v>12.7</v>
      </c>
      <c r="C21">
        <f>RTD("rtdtrading.rtdserver",, "DI1F32_F_0", "VAR")</f>
        <v>0.27635215159888166</v>
      </c>
      <c r="D21">
        <f>RTD("rtdtrading.rtdserver",, "DI1F32_F_0", "NEG")</f>
        <v>7227</v>
      </c>
      <c r="E21">
        <f>RTD("rtdtrading.rtdserver",, "DI1F32_F_0", "VOL")</f>
        <v>2315753791.1599998</v>
      </c>
    </row>
    <row r="22" spans="1:5" x14ac:dyDescent="0.3">
      <c r="A22" t="s">
        <v>40</v>
      </c>
      <c r="B22">
        <f>RTD("rtdtrading.rtdserver",, "DI1F33_F_0", "ULT")</f>
        <v>12.755000000000001</v>
      </c>
      <c r="C22">
        <f>RTD("rtdtrading.rtdserver",, "DI1F33_F_0", "VAR")</f>
        <v>0.35405192761604981</v>
      </c>
      <c r="D22">
        <f>RTD("rtdtrading.rtdserver",, "DI1F33_F_0", "NEG")</f>
        <v>10605</v>
      </c>
      <c r="E22">
        <f>RTD("rtdtrading.rtdserver",, "DI1F33_F_0", "VOL")</f>
        <v>2528950613.1700001</v>
      </c>
    </row>
    <row r="23" spans="1:5" x14ac:dyDescent="0.3">
      <c r="A23" t="s">
        <v>41</v>
      </c>
      <c r="B23">
        <f>RTD("rtdtrading.rtdserver",, "DI1F34_F_0", "ULT")</f>
        <v>12.77</v>
      </c>
      <c r="C23">
        <f>RTD("rtdtrading.rtdserver",, "DI1F34_F_0", "VAR")</f>
        <v>0.4720692368213904</v>
      </c>
      <c r="D23">
        <f>RTD("rtdtrading.rtdserver",, "DI1F34_F_0", "NEG")</f>
        <v>197</v>
      </c>
      <c r="E23">
        <f>RTD("rtdtrading.rtdserver",, "DI1F34_F_0", "VOL")</f>
        <v>28737956.489999998</v>
      </c>
    </row>
    <row r="24" spans="1:5" x14ac:dyDescent="0.3">
      <c r="A24" t="s">
        <v>42</v>
      </c>
      <c r="B24">
        <f>RTD("rtdtrading.rtdserver",, "DI1F35_F_0", "ULT")</f>
        <v>12.77</v>
      </c>
      <c r="C24">
        <f>RTD("rtdtrading.rtdserver",, "DI1F35_F_0", "VAR")</f>
        <v>0.31421838177532718</v>
      </c>
      <c r="D24">
        <f>RTD("rtdtrading.rtdserver",, "DI1F35_F_0", "NEG")</f>
        <v>8932</v>
      </c>
      <c r="E24">
        <f>RTD("rtdtrading.rtdserver",, "DI1F35_F_0", "VOL")</f>
        <v>1780406228.8699999</v>
      </c>
    </row>
    <row r="25" spans="1:5" x14ac:dyDescent="0.3">
      <c r="A25" t="s">
        <v>43</v>
      </c>
      <c r="B25">
        <f>RTD("rtdtrading.rtdserver",, "DI1F36_F_0", "ULT")</f>
        <v>12.765000000000001</v>
      </c>
      <c r="C25">
        <f>RTD("rtdtrading.rtdserver",, "DI1F36_F_0", "VAR")</f>
        <v>0.47225501770955297</v>
      </c>
      <c r="D25">
        <f>RTD("rtdtrading.rtdserver",, "DI1F36_F_0", "NEG")</f>
        <v>138</v>
      </c>
      <c r="E25">
        <f>RTD("rtdtrading.rtdserver",, "DI1F36_F_0", "VOL")</f>
        <v>7352567.0599999996</v>
      </c>
    </row>
    <row r="26" spans="1:5" x14ac:dyDescent="0.3">
      <c r="A26" t="s">
        <v>44</v>
      </c>
      <c r="B26">
        <f>RTD("rtdtrading.rtdserver",, "FRP0_F_0", "ULT")</f>
        <v>21.2</v>
      </c>
      <c r="C26">
        <f>RTD("rtdtrading.rtdserver",, "FRP0_F_0", "VAR")</f>
        <v>-10.169491525423737</v>
      </c>
      <c r="D26">
        <f>RTD("rtdtrading.rtdserver",, "FRP0_F_0", "NEG")</f>
        <v>107</v>
      </c>
      <c r="E26">
        <f>RTD("rtdtrading.rtdserver",, "FRP0_F_0", "VOL")</f>
        <v>273440</v>
      </c>
    </row>
    <row r="27" spans="1:5" x14ac:dyDescent="0.3">
      <c r="A27" t="s">
        <v>45</v>
      </c>
      <c r="B27">
        <f>RTD("rtdtrading.rtdserver",, "IFNC_B_0", "ULT")</f>
        <v>23336.55</v>
      </c>
      <c r="C27">
        <f>RTD("rtdtrading.rtdserver",, "IFNC_B_0", "VAR")</f>
        <v>-1.1624656622204426</v>
      </c>
      <c r="D27">
        <f>RTD("rtdtrading.rtdserver",, "IFNC_B_0", "NEG")</f>
        <v>238502</v>
      </c>
      <c r="E27">
        <f>RTD("rtdtrading.rtdserver",, "IFNC_B_0", "VOL")</f>
        <v>4497053272</v>
      </c>
    </row>
    <row r="28" spans="1:5" x14ac:dyDescent="0.3">
      <c r="A28" t="s">
        <v>46</v>
      </c>
      <c r="B28">
        <f>RTD("rtdtrading.rtdserver",, "ITSA4_B_0", "ULT")</f>
        <v>16.21</v>
      </c>
      <c r="C28">
        <f>RTD("rtdtrading.rtdserver",, "ITSA4_B_0", "VAR")</f>
        <v>-1.9951632406287685</v>
      </c>
      <c r="D28">
        <f>RTD("rtdtrading.rtdserver",, "ITSA4_B_0", "NEG")</f>
        <v>23063</v>
      </c>
      <c r="E28">
        <f>RTD("rtdtrading.rtdserver",, "ITSA4_B_0", "VOL")</f>
        <v>254407148</v>
      </c>
    </row>
    <row r="29" spans="1:5" x14ac:dyDescent="0.3">
      <c r="A29" t="s">
        <v>47</v>
      </c>
      <c r="B29">
        <f>RTD("rtdtrading.rtdserver",, "ITUB4_B_0", "ULT")</f>
        <v>49.74</v>
      </c>
      <c r="C29">
        <f>RTD("rtdtrading.rtdserver",, "ITUB4_B_0", "VAR")</f>
        <v>-1.4073339940535199</v>
      </c>
      <c r="D29">
        <f>RTD("rtdtrading.rtdserver",, "ITUB4_B_0", "NEG")</f>
        <v>33099</v>
      </c>
      <c r="E29">
        <f>RTD("rtdtrading.rtdserver",, "ITUB4_B_0", "VOL")</f>
        <v>839284073</v>
      </c>
    </row>
    <row r="30" spans="1:5" x14ac:dyDescent="0.3">
      <c r="A30" t="s">
        <v>48</v>
      </c>
      <c r="B30">
        <f>RTD("rtdtrading.rtdserver",, "PETR4_B_0", "ULT")</f>
        <v>53.98</v>
      </c>
      <c r="C30">
        <f>RTD("rtdtrading.rtdserver",, "PETR4_B_0", "VAR")</f>
        <v>0.29728725380898663</v>
      </c>
      <c r="D30">
        <f>RTD("rtdtrading.rtdserver",, "PETR4_B_0", "NEG")</f>
        <v>29356</v>
      </c>
      <c r="E30">
        <f>RTD("rtdtrading.rtdserver",, "PETR4_B_0", "VOL")</f>
        <v>1182641301</v>
      </c>
    </row>
    <row r="31" spans="1:5" x14ac:dyDescent="0.3">
      <c r="A31" t="s">
        <v>49</v>
      </c>
      <c r="B31">
        <f>RTD("rtdtrading.rtdserver",, "PRIO3_B_0", "ULT")</f>
        <v>62.63</v>
      </c>
      <c r="C31">
        <f>RTD("rtdtrading.rtdserver",, "PRIO3_B_0", "VAR")</f>
        <v>0.93473005640612117</v>
      </c>
      <c r="D31">
        <f>RTD("rtdtrading.rtdserver",, "PRIO3_B_0", "NEG")</f>
        <v>9727</v>
      </c>
      <c r="E31">
        <f>RTD("rtdtrading.rtdserver",, "PRIO3_B_0", "VOL")</f>
        <v>168118537</v>
      </c>
    </row>
    <row r="32" spans="1:5" x14ac:dyDescent="0.3">
      <c r="A32" t="s">
        <v>50</v>
      </c>
      <c r="B32">
        <f>RTD("rtdtrading.rtdserver",, "RAIL3_B_0", "ULT")</f>
        <v>18.420000000000002</v>
      </c>
      <c r="C32">
        <f>RTD("rtdtrading.rtdserver",, "RAIL3_B_0", "VAR")</f>
        <v>0.87623220153340697</v>
      </c>
      <c r="D32">
        <f>RTD("rtdtrading.rtdserver",, "RAIL3_B_0", "NEG")</f>
        <v>11833</v>
      </c>
      <c r="E32">
        <f>RTD("rtdtrading.rtdserver",, "RAIL3_B_0", "VOL")</f>
        <v>85654026</v>
      </c>
    </row>
    <row r="33" spans="1:5" x14ac:dyDescent="0.3">
      <c r="A33" t="s">
        <v>51</v>
      </c>
      <c r="B33">
        <f>RTD("rtdtrading.rtdserver",, "RENT3_B_0", "ULT")</f>
        <v>50.29</v>
      </c>
      <c r="C33">
        <f>RTD("rtdtrading.rtdserver",, "RENT3_B_0", "VAR")</f>
        <v>0.62024809923968616</v>
      </c>
      <c r="D33">
        <f>RTD("rtdtrading.rtdserver",, "RENT3_B_0", "NEG")</f>
        <v>26054</v>
      </c>
      <c r="E33">
        <f>RTD("rtdtrading.rtdserver",, "RENT3_B_0", "VOL")</f>
        <v>360103412</v>
      </c>
    </row>
    <row r="34" spans="1:5" x14ac:dyDescent="0.3">
      <c r="A34" t="s">
        <v>52</v>
      </c>
      <c r="B34">
        <f>RTD("rtdtrading.rtdserver",, "SUZB3_B_0", "ULT")</f>
        <v>42.06</v>
      </c>
      <c r="C34">
        <f>RTD("rtdtrading.rtdserver",, "SUZB3_B_0", "VAR")</f>
        <v>0.81495685522531969</v>
      </c>
      <c r="D34">
        <f>RTD("rtdtrading.rtdserver",, "SUZB3_B_0", "NEG")</f>
        <v>9739</v>
      </c>
      <c r="E34">
        <f>RTD("rtdtrading.rtdserver",, "SUZB3_B_0", "VOL")</f>
        <v>103234352</v>
      </c>
    </row>
    <row r="35" spans="1:5" x14ac:dyDescent="0.3">
      <c r="A35" t="s">
        <v>53</v>
      </c>
      <c r="B35">
        <f>RTD("rtdtrading.rtdserver",, "VALE3_B_0", "ULT")</f>
        <v>68.44</v>
      </c>
      <c r="C35">
        <f>RTD("rtdtrading.rtdserver",, "VALE3_B_0", "VAR")</f>
        <v>-2.7426460139263984</v>
      </c>
      <c r="D35">
        <f>RTD("rtdtrading.rtdserver",, "VALE3_B_0", "NEG")</f>
        <v>34543</v>
      </c>
      <c r="E35">
        <f>RTD("rtdtrading.rtdserver",, "VALE3_B_0", "VOL")</f>
        <v>1258022186</v>
      </c>
    </row>
    <row r="36" spans="1:5" x14ac:dyDescent="0.3">
      <c r="A36" t="s">
        <v>54</v>
      </c>
      <c r="B36">
        <f>RTD("rtdtrading.rtdserver",, "WDOFUT_F_0", "ULT")</f>
        <v>5020.5</v>
      </c>
      <c r="C36">
        <f>RTD("rtdtrading.rtdserver",, "WDOFUT_F_0", "VAR")</f>
        <v>0.3096903096903097</v>
      </c>
      <c r="D36">
        <f>RTD("rtdtrading.rtdserver",, "WDOFUT_F_0", "NEG")</f>
        <v>350844</v>
      </c>
      <c r="E36">
        <f>RTD("rtdtrading.rtdserver",, "WDOFUT_F_0", "VOL")</f>
        <v>80868532800</v>
      </c>
    </row>
    <row r="37" spans="1:5" x14ac:dyDescent="0.3">
      <c r="A37" t="s">
        <v>55</v>
      </c>
      <c r="B37">
        <f>RTD("rtdtrading.rtdserver",, "WEGE3_B_0", "ULT")</f>
        <v>51.1</v>
      </c>
      <c r="C37">
        <f>RTD("rtdtrading.rtdserver",, "WEGE3_B_0", "VAR")</f>
        <v>0.68965517241379581</v>
      </c>
      <c r="D37">
        <f>RTD("rtdtrading.rtdserver",, "WEGE3_B_0", "NEG")</f>
        <v>12744</v>
      </c>
      <c r="E37">
        <f>RTD("rtdtrading.rtdserver",, "WEGE3_B_0", "VOL")</f>
        <v>215114943</v>
      </c>
    </row>
    <row r="38" spans="1:5" x14ac:dyDescent="0.3">
      <c r="A38" t="s">
        <v>56</v>
      </c>
      <c r="B38">
        <f>RTD("rtdtrading.rtdserver",, "WINFUT_F_0", "ULT")</f>
        <v>205135</v>
      </c>
      <c r="C38">
        <f>RTD("rtdtrading.rtdserver",, "WINFUT_F_0", "VAR")</f>
        <v>-0.59362279511533245</v>
      </c>
      <c r="D38">
        <f>RTD("rtdtrading.rtdserver",, "WINFUT_F_0", "NEG")</f>
        <v>4919714</v>
      </c>
      <c r="E38">
        <f>RTD("rtdtrading.rtdserver",, "WINFUT_F_0", "VOL")</f>
        <v>581536583329</v>
      </c>
    </row>
    <row r="39" spans="1:5" x14ac:dyDescent="0.3">
      <c r="A39" t="s">
        <v>57</v>
      </c>
      <c r="B39">
        <f>RTD("rtdtrading.rtdserver",, "IBOV_B_0", "ULT")</f>
        <v>204743.19</v>
      </c>
      <c r="C39">
        <f>RTD("rtdtrading.rtdserver",, "IBOV_B_0", "VAR")</f>
        <v>-0.53056985514971988</v>
      </c>
      <c r="D39">
        <f>RTD("rtdtrading.rtdserver",, "IBOV_B_0", "NEG")</f>
        <v>1063111</v>
      </c>
      <c r="E39">
        <f>RTD("rtdtrading.rtdserver",, "IBOV_B_0", "VOL")</f>
        <v>15414014456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2026-10-07T21:39:33Z</dcterms:modified>
</cp:coreProperties>
</file>