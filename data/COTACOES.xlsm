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\\wsl.localhost\ArchLinux\home\deitos\projetos\desims-macrodashboard\macro_dashboard_local\data\"/>
    </mc:Choice>
  </mc:AlternateContent>
  <bookViews>
    <workbookView xWindow="0" yWindow="0" windowWidth="28800" windowHeight="12180" activeTab="2"/>
  </bookViews>
  <sheets>
    <sheet name="LEIA-ME" sheetId="1" r:id="rId1"/>
    <sheet name="HISTORICO" sheetId="3" r:id="rId2"/>
    <sheet name="CONFIG_CAPTURA" sheetId="4" r:id="rId3"/>
  </sheets>
  <calcPr calcId="162913"/>
</workbook>
</file>

<file path=xl/calcChain.xml><?xml version="1.0" encoding="utf-8"?>
<calcChain xmlns="http://schemas.openxmlformats.org/spreadsheetml/2006/main">
  <c r="I7" i="4" l="1"/>
  <c r="H7" i="4"/>
  <c r="L31" i="4"/>
  <c r="L26" i="4"/>
  <c r="I19" i="4"/>
  <c r="I50" i="4"/>
  <c r="I56" i="4"/>
  <c r="L40" i="4"/>
  <c r="I61" i="4"/>
  <c r="L35" i="4"/>
  <c r="L12" i="4"/>
  <c r="L63" i="4"/>
  <c r="L17" i="4"/>
  <c r="L58" i="4"/>
  <c r="L25" i="4"/>
  <c r="L19" i="4"/>
  <c r="B33" i="4"/>
  <c r="I55" i="4"/>
  <c r="L60" i="4"/>
  <c r="I15" i="4"/>
  <c r="I31" i="4"/>
  <c r="L10" i="4"/>
  <c r="I60" i="4"/>
  <c r="L39" i="4"/>
  <c r="I24" i="4"/>
  <c r="I49" i="4"/>
  <c r="I27" i="4"/>
  <c r="L9" i="4"/>
  <c r="L44" i="4"/>
  <c r="I16" i="4"/>
  <c r="K41" i="4"/>
  <c r="I9" i="4"/>
  <c r="I63" i="4"/>
  <c r="I23" i="4"/>
  <c r="L43" i="4"/>
  <c r="I58" i="4"/>
  <c r="L11" i="4"/>
  <c r="L38" i="4"/>
  <c r="I40" i="4"/>
  <c r="L14" i="4"/>
  <c r="L13" i="4"/>
  <c r="I32" i="4"/>
  <c r="I51" i="4"/>
  <c r="L37" i="4"/>
  <c r="I26" i="4"/>
  <c r="E22" i="4"/>
  <c r="C15" i="4"/>
  <c r="K45" i="4"/>
  <c r="K27" i="4"/>
  <c r="I59" i="4"/>
  <c r="K13" i="4"/>
  <c r="J12" i="4"/>
  <c r="E28" i="4"/>
  <c r="C17" i="4"/>
  <c r="K17" i="4"/>
  <c r="J27" i="4"/>
  <c r="J19" i="4"/>
  <c r="J22" i="4"/>
  <c r="J16" i="4"/>
  <c r="E15" i="4"/>
  <c r="I38" i="4"/>
  <c r="K51" i="4"/>
  <c r="K32" i="4"/>
  <c r="E10" i="4"/>
  <c r="K39" i="4"/>
  <c r="H60" i="4"/>
  <c r="D22" i="4"/>
  <c r="I28" i="4"/>
  <c r="H61" i="4"/>
  <c r="K58" i="4"/>
  <c r="H53" i="4"/>
  <c r="J30" i="4"/>
  <c r="J39" i="4"/>
  <c r="D16" i="4"/>
  <c r="L50" i="4"/>
  <c r="K43" i="4"/>
  <c r="K63" i="4"/>
  <c r="L62" i="4"/>
  <c r="L18" i="4"/>
  <c r="C16" i="4"/>
  <c r="C25" i="4"/>
  <c r="H20" i="4"/>
  <c r="J29" i="4"/>
  <c r="C29" i="4"/>
  <c r="H18" i="4"/>
  <c r="L52" i="4"/>
  <c r="L22" i="4"/>
  <c r="H22" i="4"/>
  <c r="D34" i="4"/>
  <c r="L49" i="4"/>
  <c r="H32" i="4"/>
  <c r="B30" i="4"/>
  <c r="I54" i="4"/>
  <c r="L55" i="4"/>
  <c r="C13" i="4"/>
  <c r="B18" i="4"/>
  <c r="J57" i="4"/>
  <c r="K44" i="4"/>
  <c r="K31" i="4"/>
  <c r="D28" i="4"/>
  <c r="H27" i="4"/>
  <c r="I17" i="4"/>
  <c r="D15" i="4"/>
  <c r="H46" i="4"/>
  <c r="L48" i="4"/>
  <c r="I37" i="4"/>
  <c r="E33" i="4"/>
  <c r="H47" i="4"/>
  <c r="J54" i="4"/>
  <c r="J10" i="4"/>
  <c r="H50" i="4"/>
  <c r="D17" i="4"/>
  <c r="H17" i="4"/>
  <c r="J25" i="4"/>
  <c r="B34" i="4"/>
  <c r="J46" i="4"/>
  <c r="D29" i="4"/>
  <c r="C20" i="4"/>
  <c r="K10" i="4"/>
  <c r="I20" i="4"/>
  <c r="I45" i="4"/>
  <c r="C18" i="4"/>
  <c r="D23" i="4"/>
  <c r="K36" i="4"/>
  <c r="J14" i="4"/>
  <c r="H14" i="4"/>
  <c r="J15" i="4"/>
  <c r="J56" i="4"/>
  <c r="C22" i="4"/>
  <c r="D33" i="4"/>
  <c r="K16" i="4"/>
  <c r="K54" i="4"/>
  <c r="L24" i="4"/>
  <c r="L16" i="4"/>
  <c r="B14" i="4"/>
  <c r="B17" i="4"/>
  <c r="L57" i="4"/>
  <c r="B16" i="4"/>
  <c r="B19" i="4"/>
  <c r="J62" i="4"/>
  <c r="J49" i="4"/>
  <c r="E24" i="4"/>
  <c r="K40" i="4"/>
  <c r="H39" i="4"/>
  <c r="J18" i="4"/>
  <c r="K18" i="4"/>
  <c r="H62" i="4"/>
  <c r="D21" i="4"/>
  <c r="L23" i="4"/>
  <c r="K56" i="4"/>
  <c r="I46" i="4"/>
  <c r="I10" i="4"/>
  <c r="L45" i="4"/>
  <c r="L15" i="4"/>
  <c r="E12" i="4"/>
  <c r="E31" i="4"/>
  <c r="J28" i="4"/>
  <c r="I47" i="4"/>
  <c r="D19" i="4"/>
  <c r="I42" i="4"/>
  <c r="D30" i="4"/>
  <c r="K9" i="4"/>
  <c r="L51" i="4"/>
  <c r="H38" i="4"/>
  <c r="K48" i="4"/>
  <c r="H19" i="4"/>
  <c r="H37" i="4"/>
  <c r="K15" i="4"/>
  <c r="B32" i="4"/>
  <c r="B21" i="4"/>
  <c r="J50" i="4"/>
  <c r="J48" i="4"/>
  <c r="L61" i="4"/>
  <c r="J60" i="4"/>
  <c r="J13" i="4"/>
  <c r="J35" i="4"/>
  <c r="C10" i="4"/>
  <c r="J23" i="4"/>
  <c r="I52" i="4"/>
  <c r="I57" i="4"/>
  <c r="I34" i="4"/>
  <c r="H57" i="4"/>
  <c r="D10" i="4"/>
  <c r="I14" i="4"/>
  <c r="H63" i="4"/>
  <c r="C32" i="4"/>
  <c r="I25" i="4"/>
  <c r="D14" i="4"/>
  <c r="K19" i="4"/>
  <c r="K42" i="4"/>
  <c r="K47" i="4"/>
  <c r="K60" i="4"/>
  <c r="J53" i="4"/>
  <c r="K14" i="4"/>
  <c r="I18" i="4"/>
  <c r="I43" i="4"/>
  <c r="I62" i="4"/>
  <c r="I36" i="4"/>
  <c r="E32" i="4"/>
  <c r="J52" i="4"/>
  <c r="H44" i="4"/>
  <c r="H28" i="4"/>
  <c r="K37" i="4"/>
  <c r="K20" i="4"/>
  <c r="I11" i="4"/>
  <c r="D31" i="4"/>
  <c r="I30" i="4"/>
  <c r="L36" i="4"/>
  <c r="I41" i="4"/>
  <c r="E34" i="4"/>
  <c r="C23" i="4"/>
  <c r="K30" i="4"/>
  <c r="H10" i="4"/>
  <c r="H52" i="4"/>
  <c r="J9" i="4"/>
  <c r="D27" i="4"/>
  <c r="C27" i="4"/>
  <c r="H23" i="4"/>
  <c r="D24" i="4"/>
  <c r="E11" i="4"/>
  <c r="J34" i="4"/>
  <c r="K21" i="4"/>
  <c r="J26" i="4"/>
  <c r="J11" i="4"/>
  <c r="K55" i="4"/>
  <c r="B20" i="4"/>
  <c r="B23" i="4"/>
  <c r="H11" i="4"/>
  <c r="H41" i="4"/>
  <c r="K25" i="4"/>
  <c r="L47" i="4"/>
  <c r="E26" i="4"/>
  <c r="J43" i="4"/>
  <c r="E13" i="4"/>
  <c r="I29" i="4"/>
  <c r="L41" i="4"/>
  <c r="J33" i="4"/>
  <c r="J24" i="4"/>
  <c r="L29" i="4"/>
  <c r="K46" i="4"/>
  <c r="B29" i="4"/>
  <c r="K50" i="4"/>
  <c r="C12" i="4"/>
  <c r="B31" i="4"/>
  <c r="K29" i="4"/>
  <c r="E16" i="4"/>
  <c r="J32" i="4"/>
  <c r="H45" i="4"/>
  <c r="E20" i="4"/>
  <c r="C34" i="4"/>
  <c r="K53" i="4"/>
  <c r="J37" i="4"/>
  <c r="E23" i="4"/>
  <c r="H48" i="4"/>
  <c r="C11" i="4"/>
  <c r="J40" i="4"/>
  <c r="L56" i="4"/>
  <c r="B24" i="4"/>
  <c r="K49" i="4"/>
  <c r="E29" i="4"/>
  <c r="H59" i="4"/>
  <c r="K35" i="4"/>
  <c r="K24" i="4"/>
  <c r="B25" i="4"/>
  <c r="J31" i="4"/>
  <c r="I33" i="4"/>
  <c r="D25" i="4"/>
  <c r="I48" i="4"/>
  <c r="E18" i="4"/>
  <c r="L30" i="4"/>
  <c r="J20" i="4"/>
  <c r="J42" i="4"/>
  <c r="L34" i="4"/>
  <c r="L33" i="4"/>
  <c r="B10" i="4"/>
  <c r="B13" i="4"/>
  <c r="I22" i="4"/>
  <c r="I35" i="4"/>
  <c r="L53" i="4"/>
  <c r="K28" i="4"/>
  <c r="B12" i="4"/>
  <c r="B15" i="4"/>
  <c r="H34" i="4"/>
  <c r="J45" i="4"/>
  <c r="H30" i="4"/>
  <c r="K61" i="4"/>
  <c r="C26" i="4"/>
  <c r="E21" i="4"/>
  <c r="K23" i="4"/>
  <c r="H25" i="4"/>
  <c r="L59" i="4"/>
  <c r="L54" i="4"/>
  <c r="C30" i="4"/>
  <c r="E27" i="4"/>
  <c r="H42" i="4"/>
  <c r="E19" i="4"/>
  <c r="C31" i="4"/>
  <c r="H29" i="4"/>
  <c r="J36" i="4"/>
  <c r="K38" i="4"/>
  <c r="K52" i="4"/>
  <c r="I12" i="4"/>
  <c r="C14" i="4"/>
  <c r="C21" i="4"/>
  <c r="K11" i="4"/>
  <c r="K33" i="4"/>
  <c r="H13" i="4"/>
  <c r="B27" i="4"/>
  <c r="K12" i="4"/>
  <c r="E14" i="4"/>
  <c r="K57" i="4"/>
  <c r="K26" i="4"/>
  <c r="I53" i="4"/>
  <c r="I39" i="4"/>
  <c r="B26" i="4"/>
  <c r="H31" i="4"/>
  <c r="H56" i="4"/>
  <c r="B28" i="4"/>
  <c r="H51" i="4"/>
  <c r="J58" i="4"/>
  <c r="H33" i="4"/>
  <c r="L28" i="4"/>
  <c r="K34" i="4"/>
  <c r="H35" i="4"/>
  <c r="H55" i="4"/>
  <c r="K62" i="4"/>
  <c r="H49" i="4"/>
  <c r="D32" i="4"/>
  <c r="H24" i="4"/>
  <c r="J63" i="4"/>
  <c r="E17" i="4"/>
  <c r="J61" i="4"/>
  <c r="H15" i="4"/>
  <c r="H43" i="4"/>
  <c r="H21" i="4"/>
  <c r="D13" i="4"/>
  <c r="J21" i="4"/>
  <c r="H36" i="4"/>
  <c r="B22" i="4"/>
  <c r="J47" i="4"/>
  <c r="B11" i="4"/>
  <c r="K22" i="4"/>
  <c r="H40" i="4"/>
  <c r="L42" i="4"/>
  <c r="C19" i="4"/>
  <c r="H12" i="4"/>
  <c r="J59" i="4"/>
  <c r="D20" i="4"/>
  <c r="H16" i="4"/>
  <c r="L21" i="4"/>
  <c r="I21" i="4"/>
  <c r="C24" i="4"/>
  <c r="C33" i="4"/>
  <c r="H26" i="4"/>
  <c r="J55" i="4"/>
  <c r="H54" i="4"/>
  <c r="J41" i="4"/>
  <c r="H9" i="4"/>
  <c r="C28" i="4"/>
  <c r="D11" i="4"/>
  <c r="J44" i="4"/>
  <c r="K59" i="4"/>
  <c r="L46" i="4"/>
  <c r="J51" i="4"/>
  <c r="D26" i="4"/>
  <c r="D12" i="4"/>
  <c r="L27" i="4"/>
  <c r="I13" i="4"/>
  <c r="H58" i="4"/>
  <c r="J38" i="4"/>
  <c r="E25" i="4"/>
  <c r="D18" i="4"/>
  <c r="L32" i="4"/>
  <c r="L20" i="4"/>
  <c r="E30" i="4"/>
  <c r="I44" i="4"/>
  <c r="J17" i="4"/>
</calcChain>
</file>

<file path=xl/sharedStrings.xml><?xml version="1.0" encoding="utf-8"?>
<sst xmlns="http://schemas.openxmlformats.org/spreadsheetml/2006/main" count="63" uniqueCount="59">
  <si>
    <t>CAPTURA AUTOMÁTICA DO PROFIT → EXCEL</t>
  </si>
  <si>
    <t>1</t>
  </si>
  <si>
    <t>Salve este arquivo como .XLSM no Excel.</t>
  </si>
  <si>
    <t>2</t>
  </si>
  <si>
    <t>Abra o VBA com ALT+F11 e importe o módulo VBA fornecido junto deste arquivo.</t>
  </si>
  <si>
    <t>3</t>
  </si>
  <si>
    <t>Na aba CONFIG_CAPTURA, informe as células que recebem os dados do RTD do Profit.</t>
  </si>
  <si>
    <t>4</t>
  </si>
  <si>
    <t>Exemplo: se PETR4 estiver na célula B10 da aba SETORES, coloque B10 na coluna Último.</t>
  </si>
  <si>
    <t>5</t>
  </si>
  <si>
    <t>O botão Iniciar captura grava um snapshot a cada 1 segundo na aba HISTORICO.</t>
  </si>
  <si>
    <t>6</t>
  </si>
  <si>
    <t>O botão Parar encerra a captura. O arquivo pode ser salvo automaticamente a cada snapshot.</t>
  </si>
  <si>
    <t>7</t>
  </si>
  <si>
    <t>Atenção: RTD atualiza as células; o VBA grava o histórico. Para centenas de ativos, o histórico cresce rapidamente.</t>
  </si>
  <si>
    <t>ABEV3</t>
  </si>
  <si>
    <t>B3SA3</t>
  </si>
  <si>
    <t>BBAS3</t>
  </si>
  <si>
    <t>BBDC4</t>
  </si>
  <si>
    <t>BPAC11</t>
  </si>
  <si>
    <t>DI1F27</t>
  </si>
  <si>
    <t>DI1F28</t>
  </si>
  <si>
    <t>DI1F29</t>
  </si>
  <si>
    <t>DI1F30</t>
  </si>
  <si>
    <t>DI1F31</t>
  </si>
  <si>
    <t>DI1F33</t>
  </si>
  <si>
    <t>DI1F35</t>
  </si>
  <si>
    <t>DI1F36</t>
  </si>
  <si>
    <t>ITSA4</t>
  </si>
  <si>
    <t>ITUB4</t>
  </si>
  <si>
    <t>PETR4</t>
  </si>
  <si>
    <t>PRIO3</t>
  </si>
  <si>
    <t>RAIL3</t>
  </si>
  <si>
    <t>RENT3</t>
  </si>
  <si>
    <t>SUZB3</t>
  </si>
  <si>
    <t>VALE3</t>
  </si>
  <si>
    <t>WEGE3</t>
  </si>
  <si>
    <t>Data/Hora</t>
  </si>
  <si>
    <t>Aba</t>
  </si>
  <si>
    <t>Ativo</t>
  </si>
  <si>
    <t>Último</t>
  </si>
  <si>
    <t>Variação</t>
  </si>
  <si>
    <t>Negócios</t>
  </si>
  <si>
    <t>Volume</t>
  </si>
  <si>
    <t>CONFIGURAÇÃO DA CAPTURA</t>
  </si>
  <si>
    <t>Intervalo (segundos)</t>
  </si>
  <si>
    <t>IMPORTANTE</t>
  </si>
  <si>
    <t>O VBA captura as células que você indicar abaixo.</t>
  </si>
  <si>
    <t>Preencha a coluna A com o nome da aba e B com o endereço da célula do Último.</t>
  </si>
  <si>
    <t>Opcionalmente informe C=Variação, D=Negócios e E=Volume.</t>
  </si>
  <si>
    <t>AXIA3</t>
  </si>
  <si>
    <t>DI1F34</t>
  </si>
  <si>
    <t>Asset</t>
  </si>
  <si>
    <t>WDOFUT</t>
  </si>
  <si>
    <t>Data</t>
  </si>
  <si>
    <t>Compradora</t>
  </si>
  <si>
    <t>Valor</t>
  </si>
  <si>
    <t>Quantidade</t>
  </si>
  <si>
    <t>Vendedora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</si>
</sst>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\ hh:mm:ss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trading.rtdserver">
      <tp t="s">
        <v>11:17:59</v>
        <stp/>
        <stp>T&amp;T0</stp>
        <stp>DAT</stp>
        <stp>8</stp>
        <tr r="H17" s="4"/>
      </tp>
      <tp t="s">
        <v>11:17:59</v>
        <stp/>
        <stp>T&amp;T0</stp>
        <stp>DAT</stp>
        <stp>9</stp>
        <tr r="H18" s="4"/>
      </tp>
      <tp t="s">
        <v>11:18:03</v>
        <stp/>
        <stp>T&amp;T0</stp>
        <stp>DAT</stp>
        <stp>6</stp>
        <tr r="H15" s="4"/>
      </tp>
      <tp t="s">
        <v>11:17:59</v>
        <stp/>
        <stp>T&amp;T0</stp>
        <stp>DAT</stp>
        <stp>7</stp>
        <tr r="H16" s="4"/>
      </tp>
      <tp t="s">
        <v>11:18:08</v>
        <stp/>
        <stp>T&amp;T0</stp>
        <stp>DAT</stp>
        <stp>4</stp>
        <tr r="H13" s="4"/>
      </tp>
      <tp t="s">
        <v>11:18:05</v>
        <stp/>
        <stp>T&amp;T0</stp>
        <stp>DAT</stp>
        <stp>5</stp>
        <tr r="H14" s="4"/>
      </tp>
      <tp t="s">
        <v>11:18:13</v>
        <stp/>
        <stp>T&amp;T0</stp>
        <stp>DAT</stp>
        <stp>2</stp>
        <tr r="H11" s="4"/>
      </tp>
      <tp t="s">
        <v>11:18:13</v>
        <stp/>
        <stp>T&amp;T0</stp>
        <stp>DAT</stp>
        <stp>3</stp>
        <tr r="H12" s="4"/>
      </tp>
      <tp t="s">
        <v>11:18:15</v>
        <stp/>
        <stp>T&amp;T0</stp>
        <stp>DAT</stp>
        <stp>0</stp>
        <tr r="H9" s="4"/>
      </tp>
      <tp t="s">
        <v>11:18:15</v>
        <stp/>
        <stp>T&amp;T0</stp>
        <stp>DAT</stp>
        <stp>1</stp>
        <tr r="H10" s="4"/>
      </tp>
      <tp t="s">
        <v>-</v>
        <stp/>
        <stp>T&amp;T0</stp>
        <stp>ACP</stp>
        <stp>9</stp>
        <tr r="I18" s="4"/>
      </tp>
      <tp t="s">
        <v>Agora</v>
        <stp/>
        <stp>T&amp;T0</stp>
        <stp>ACP</stp>
        <stp>8</stp>
        <tr r="I17" s="4"/>
      </tp>
      <tp t="s">
        <v>UBS</v>
        <stp/>
        <stp>T&amp;T0</stp>
        <stp>ACP</stp>
        <stp>3</stp>
        <tr r="I12" s="4"/>
      </tp>
      <tp t="s">
        <v>-</v>
        <stp/>
        <stp>T&amp;T0</stp>
        <stp>ACP</stp>
        <stp>2</stp>
        <tr r="I11" s="4"/>
      </tp>
      <tp t="s">
        <v>Ideal</v>
        <stp/>
        <stp>T&amp;T0</stp>
        <stp>ACP</stp>
        <stp>1</stp>
        <tr r="I10" s="4"/>
      </tp>
      <tp t="s">
        <v>-</v>
        <stp/>
        <stp>T&amp;T0</stp>
        <stp>ACP</stp>
        <stp>0</stp>
        <tr r="I9" s="4"/>
      </tp>
      <tp t="s">
        <v>Ideal</v>
        <stp/>
        <stp>T&amp;T0</stp>
        <stp>ACP</stp>
        <stp>7</stp>
        <tr r="I16" s="4"/>
      </tp>
      <tp t="s">
        <v>-</v>
        <stp/>
        <stp>T&amp;T0</stp>
        <stp>ACP</stp>
        <stp>6</stp>
        <tr r="I15" s="4"/>
      </tp>
      <tp t="s">
        <v>XP</v>
        <stp/>
        <stp>T&amp;T0</stp>
        <stp>ACP</stp>
        <stp>5</stp>
        <tr r="I14" s="4"/>
      </tp>
      <tp t="s">
        <v>-</v>
        <stp/>
        <stp>T&amp;T0</stp>
        <stp>ACP</stp>
        <stp>4</stp>
        <tr r="I13" s="4"/>
      </tp>
      <tp t="s">
        <v>BTG</v>
        <stp/>
        <stp>T&amp;T0</stp>
        <stp>AVD</stp>
        <stp>9</stp>
        <tr r="L18" s="4"/>
      </tp>
      <tp t="s">
        <v>-</v>
        <stp/>
        <stp>T&amp;T0</stp>
        <stp>AVD</stp>
        <stp>8</stp>
        <tr r="L17" s="4"/>
      </tp>
      <tp t="s">
        <v>-</v>
        <stp/>
        <stp>T&amp;T0</stp>
        <stp>AVD</stp>
        <stp>3</stp>
        <tr r="L12" s="4"/>
      </tp>
      <tp t="s">
        <v>Ideal</v>
        <stp/>
        <stp>T&amp;T0</stp>
        <stp>AVD</stp>
        <stp>2</stp>
        <tr r="L11" s="4"/>
      </tp>
      <tp t="s">
        <v>-</v>
        <stp/>
        <stp>T&amp;T0</stp>
        <stp>AVD</stp>
        <stp>1</stp>
        <tr r="L10" s="4"/>
      </tp>
      <tp t="s">
        <v>XP</v>
        <stp/>
        <stp>T&amp;T0</stp>
        <stp>AVD</stp>
        <stp>0</stp>
        <tr r="L9" s="4"/>
      </tp>
      <tp t="s">
        <v>-</v>
        <stp/>
        <stp>T&amp;T0</stp>
        <stp>AVD</stp>
        <stp>7</stp>
        <tr r="L16" s="4"/>
      </tp>
      <tp t="s">
        <v>BTG</v>
        <stp/>
        <stp>T&amp;T0</stp>
        <stp>AVD</stp>
        <stp>6</stp>
        <tr r="L15" s="4"/>
      </tp>
      <tp t="s">
        <v>-</v>
        <stp/>
        <stp>T&amp;T0</stp>
        <stp>AVD</stp>
        <stp>5</stp>
        <tr r="L14" s="4"/>
      </tp>
      <tp t="s">
        <v>Ideal</v>
        <stp/>
        <stp>T&amp;T0</stp>
        <stp>AVD</stp>
        <stp>4</stp>
        <tr r="L13" s="4"/>
      </tp>
      <tp>
        <v>187165</v>
        <stp/>
        <stp>T&amp;T0</stp>
        <stp>PRE</stp>
        <stp>8</stp>
        <tr r="J17" s="4"/>
      </tp>
      <tp>
        <v>187160</v>
        <stp/>
        <stp>T&amp;T0</stp>
        <stp>PRE</stp>
        <stp>9</stp>
        <tr r="J18" s="4"/>
      </tp>
      <tp>
        <v>187140</v>
        <stp/>
        <stp>T&amp;T0</stp>
        <stp>PRE</stp>
        <stp>2</stp>
        <tr r="J11" s="4"/>
      </tp>
      <tp>
        <v>187145</v>
        <stp/>
        <stp>T&amp;T0</stp>
        <stp>PRE</stp>
        <stp>3</stp>
        <tr r="J12" s="4"/>
      </tp>
      <tp>
        <v>187120</v>
        <stp/>
        <stp>T&amp;T0</stp>
        <stp>PRE</stp>
        <stp>0</stp>
        <tr r="J9" s="4"/>
      </tp>
      <tp>
        <v>187130</v>
        <stp/>
        <stp>T&amp;T0</stp>
        <stp>PRE</stp>
        <stp>1</stp>
        <tr r="J10" s="4"/>
      </tp>
      <tp>
        <v>187140</v>
        <stp/>
        <stp>T&amp;T0</stp>
        <stp>PRE</stp>
        <stp>6</stp>
        <tr r="J15" s="4"/>
      </tp>
      <tp>
        <v>187170</v>
        <stp/>
        <stp>T&amp;T0</stp>
        <stp>PRE</stp>
        <stp>7</stp>
        <tr r="J16" s="4"/>
      </tp>
      <tp>
        <v>187120</v>
        <stp/>
        <stp>T&amp;T0</stp>
        <stp>PRE</stp>
        <stp>4</stp>
        <tr r="J13" s="4"/>
      </tp>
      <tp>
        <v>187160</v>
        <stp/>
        <stp>T&amp;T0</stp>
        <stp>PRE</stp>
        <stp>5</stp>
        <tr r="J14" s="4"/>
      </tp>
      <tp>
        <v>90</v>
        <stp/>
        <stp>T&amp;T0</stp>
        <stp>QUL</stp>
        <stp>9</stp>
        <tr r="K18" s="4"/>
      </tp>
      <tp>
        <v>89</v>
        <stp/>
        <stp>T&amp;T0</stp>
        <stp>QUL</stp>
        <stp>8</stp>
        <tr r="K17" s="4"/>
      </tp>
      <tp>
        <v>105</v>
        <stp/>
        <stp>T&amp;T0</stp>
        <stp>QUL</stp>
        <stp>3</stp>
        <tr r="K12" s="4"/>
      </tp>
      <tp>
        <v>78</v>
        <stp/>
        <stp>T&amp;T0</stp>
        <stp>QUL</stp>
        <stp>2</stp>
        <tr r="K11" s="4"/>
      </tp>
      <tp>
        <v>86</v>
        <stp/>
        <stp>T&amp;T0</stp>
        <stp>QUL</stp>
        <stp>1</stp>
        <tr r="K10" s="4"/>
      </tp>
      <tp>
        <v>87</v>
        <stp/>
        <stp>T&amp;T0</stp>
        <stp>QUL</stp>
        <stp>0</stp>
        <tr r="K9" s="4"/>
      </tp>
      <tp>
        <v>82</v>
        <stp/>
        <stp>T&amp;T0</stp>
        <stp>QUL</stp>
        <stp>7</stp>
        <tr r="K16" s="4"/>
      </tp>
      <tp>
        <v>98</v>
        <stp/>
        <stp>T&amp;T0</stp>
        <stp>QUL</stp>
        <stp>6</stp>
        <tr r="K15" s="4"/>
      </tp>
      <tp>
        <v>187</v>
        <stp/>
        <stp>T&amp;T0</stp>
        <stp>QUL</stp>
        <stp>5</stp>
        <tr r="K14" s="4"/>
      </tp>
      <tp>
        <v>97</v>
        <stp/>
        <stp>T&amp;T0</stp>
        <stp>QUL</stp>
        <stp>4</stp>
        <tr r="K13" s="4"/>
      </tp>
      <tp>
        <v>4523</v>
        <stp/>
        <stp>BBDC4_B_0</stp>
        <stp>NEG</stp>
        <tr r="D14" s="4"/>
      </tp>
      <tp>
        <v>3249</v>
        <stp/>
        <stp>ABEV3_B_0</stp>
        <stp>NEG</stp>
        <tr r="D10" s="4"/>
      </tp>
      <tp>
        <v>3337</v>
        <stp/>
        <stp>WEGE3_B_0</stp>
        <stp>NEG</stp>
        <tr r="D34" s="4"/>
      </tp>
      <tp>
        <v>164522</v>
        <stp/>
        <stp>WDOFUT_F_0</stp>
        <stp>NEG</stp>
        <tr r="D33" s="4"/>
      </tp>
      <tp>
        <v>1266</v>
        <stp/>
        <stp>DI1F27_F_0</stp>
        <stp>NEG</stp>
        <tr r="D16" s="4"/>
      </tp>
      <tp>
        <v>4774</v>
        <stp/>
        <stp>DI1F28_F_0</stp>
        <stp>NEG</stp>
        <tr r="D17" s="4"/>
      </tp>
      <tp>
        <v>9085</v>
        <stp/>
        <stp>DI1F29_F_0</stp>
        <stp>NEG</stp>
        <tr r="D18" s="4"/>
      </tp>
      <tp>
        <v>2502</v>
        <stp/>
        <stp>DI1F33_F_0</stp>
        <stp>NEG</stp>
        <tr r="D21" s="4"/>
      </tp>
      <tp>
        <v>3879</v>
        <stp/>
        <stp>DI1F30_F_0</stp>
        <stp>NEG</stp>
        <tr r="D19" s="4"/>
      </tp>
      <tp>
        <v>7487</v>
        <stp/>
        <stp>DI1F31_F_0</stp>
        <stp>NEG</stp>
        <tr r="D20" s="4"/>
      </tp>
      <tp>
        <v>55</v>
        <stp/>
        <stp>DI1F36_F_0</stp>
        <stp>NEG</stp>
        <tr r="D24" s="4"/>
      </tp>
      <tp>
        <v>75</v>
        <stp/>
        <stp>DI1F34_F_0</stp>
        <stp>NEG</stp>
        <tr r="D22" s="4"/>
      </tp>
      <tp>
        <v>2347</v>
        <stp/>
        <stp>DI1F35_F_0</stp>
        <stp>NEG</stp>
        <tr r="D23" s="4"/>
      </tp>
      <tp>
        <v>7252</v>
        <stp/>
        <stp>BBAS3_B_0</stp>
        <stp>NEG</stp>
        <tr r="D13" s="4"/>
      </tp>
      <tp>
        <v>47.54</v>
        <stp/>
        <stp>SUZB3_B_0</stp>
        <stp>ULT</stp>
        <tr r="B31" s="4"/>
      </tp>
      <tp>
        <v>5465</v>
        <stp/>
        <stp>BPAC11_B_0</stp>
        <stp>NEG</stp>
        <tr r="D15" s="4"/>
      </tp>
      <tp>
        <v>-4.20521446593842E-2</v>
        <stp/>
        <stp>SUZB3_B_0</stp>
        <stp>VAR</stp>
        <tr r="C31" s="4"/>
      </tp>
      <tp>
        <v>16690905</v>
        <stp/>
        <stp>SUZB3_B_0</stp>
        <stp>VOL</stp>
        <tr r="E31" s="4"/>
      </tp>
      <tp t="s">
        <v>Ordem Original</v>
        <stp/>
        <stp>T&amp;T0</stp>
        <stp>INFO</stp>
        <stp>TAB</stp>
        <tr r="I7" s="4"/>
      </tp>
      <tp>
        <v>-2.1019234582589772</v>
        <stp/>
        <stp>PETR4_B_0</stp>
        <stp>VAR</stp>
        <tr r="C27" s="4"/>
      </tp>
      <tp>
        <v>370202275</v>
        <stp/>
        <stp>PETR4_B_0</stp>
        <stp>VOL</stp>
        <tr r="E27" s="4"/>
      </tp>
      <tp>
        <v>11602</v>
        <stp/>
        <stp>VALE3_B_0</stp>
        <stp>NEG</stp>
        <tr r="D32" s="4"/>
      </tp>
      <tp>
        <v>-1.03116943988752</v>
        <stp/>
        <stp>ITUB4_B_0</stp>
        <stp>VAR</stp>
        <tr r="C26" s="4"/>
      </tp>
      <tp>
        <v>138847793</v>
        <stp/>
        <stp>ITUB4_B_0</stp>
        <stp>VOL</stp>
        <tr r="E26" s="4"/>
      </tp>
      <tp>
        <v>3276</v>
        <stp/>
        <stp>RENT3_B_0</stp>
        <stp>NEG</stp>
        <tr r="D30" s="4"/>
      </tp>
      <tp>
        <v>42.23</v>
        <stp/>
        <stp>ITUB4_B_0</stp>
        <stp>ULT</stp>
        <tr r="B26" s="4"/>
      </tp>
      <tp>
        <v>49.37</v>
        <stp/>
        <stp>PETR4_B_0</stp>
        <stp>ULT</stp>
        <tr r="B27" s="4"/>
      </tp>
      <tp>
        <v>14.06</v>
        <stp/>
        <stp>ITSA4_B_0</stp>
        <stp>ULT</stp>
        <tr r="B25" s="4"/>
      </tp>
      <tp>
        <v>17.440000000000001</v>
        <stp/>
        <stp>B3SA3_B_0</stp>
        <stp>ULT</stp>
        <tr r="B12" s="4"/>
      </tp>
      <tp>
        <v>4470</v>
        <stp/>
        <stp>AXIA3_B_0</stp>
        <stp>NEG</stp>
        <tr r="D11" s="4"/>
      </tp>
      <tp>
        <v>4379</v>
        <stp/>
        <stp>PRIO3_B_0</stp>
        <stp>NEG</stp>
        <tr r="D28" s="4"/>
      </tp>
      <tp>
        <v>2514</v>
        <stp/>
        <stp>RAIL3_B_0</stp>
        <stp>NEG</stp>
        <tr r="D29" s="4"/>
      </tp>
      <tp>
        <v>-0.70621468926553421</v>
        <stp/>
        <stp>ITSA4_B_0</stp>
        <stp>VAR</stp>
        <tr r="C25" s="4"/>
      </tp>
      <tp>
        <v>0.11481056257175414</v>
        <stp/>
        <stp>B3SA3_B_0</stp>
        <stp>VAR</stp>
        <tr r="C12" s="4"/>
      </tp>
      <tp>
        <v>62195957</v>
        <stp/>
        <stp>B3SA3_B_0</stp>
        <stp>VOL</stp>
        <tr r="E12" s="4"/>
      </tp>
      <tp>
        <v>43552978</v>
        <stp/>
        <stp>ITSA4_B_0</stp>
        <stp>VOL</stp>
        <tr r="E25" s="4"/>
      </tp>
      <tp>
        <v>13361</v>
        <stp/>
        <stp>PETR4_B_0</stp>
        <stp>NEG</stp>
        <tr r="D27" s="4"/>
      </tp>
      <tp>
        <v>-0.76407506702413852</v>
        <stp/>
        <stp>VALE3_B_0</stp>
        <stp>VAR</stp>
        <tr r="C32" s="4"/>
      </tp>
      <tp>
        <v>673911964</v>
        <stp/>
        <stp>VALE3_B_0</stp>
        <stp>VOL</stp>
        <tr r="E32" s="4"/>
      </tp>
      <tp>
        <v>35.86</v>
        <stp/>
        <stp>RENT3_B_0</stp>
        <stp>ULT</stp>
        <tr r="B30" s="4"/>
      </tp>
      <tp>
        <v>3994</v>
        <stp/>
        <stp>ITUB4_B_0</stp>
        <stp>NEG</stp>
        <tr r="D26" s="4"/>
      </tp>
      <tp>
        <v>0.50448430493273466</v>
        <stp/>
        <stp>RENT3_B_0</stp>
        <stp>VAR</stp>
        <tr r="C30" s="4"/>
      </tp>
      <tp>
        <v>24895216</v>
        <stp/>
        <stp>RENT3_B_0</stp>
        <stp>VOL</stp>
        <tr r="E30" s="4"/>
      </tp>
      <tp>
        <v>74.03</v>
        <stp/>
        <stp>VALE3_B_0</stp>
        <stp>ULT</stp>
        <tr r="B32" s="4"/>
      </tp>
      <tp t="s">
        <v>WINV26</v>
        <stp/>
        <stp>T&amp;T0</stp>
        <stp>INFO</stp>
        <stp>ATV</stp>
        <tr r="H7" s="4"/>
      </tp>
      <tp>
        <v>16029567</v>
        <stp/>
        <stp>RAIL3_B_0</stp>
        <stp>VOL</stp>
        <tr r="E29" s="4"/>
      </tp>
      <tp>
        <v>107151254</v>
        <stp/>
        <stp>PRIO3_B_0</stp>
        <stp>VOL</stp>
        <tr r="E28" s="4"/>
      </tp>
      <tp>
        <v>-0.1820167455405923</v>
        <stp/>
        <stp>AXIA3_B_0</stp>
        <stp>VAR</stp>
        <tr r="C11" s="4"/>
      </tp>
      <tp>
        <v>56242455</v>
        <stp/>
        <stp>AXIA3_B_0</stp>
        <stp>VOL</stp>
        <tr r="E11" s="4"/>
      </tp>
      <tp>
        <v>-3.3191230207064661</v>
        <stp/>
        <stp>PRIO3_B_0</stp>
        <stp>VAR</stp>
        <tr r="C28" s="4"/>
      </tp>
      <tp>
        <v>0.13605442176870458</v>
        <stp/>
        <stp>RAIL3_B_0</stp>
        <stp>VAR</stp>
        <tr r="C29" s="4"/>
      </tp>
      <tp>
        <v>63.5</v>
        <stp/>
        <stp>PRIO3_B_0</stp>
        <stp>ULT</stp>
        <tr r="B28" s="4"/>
      </tp>
      <tp>
        <v>14.72</v>
        <stp/>
        <stp>RAIL3_B_0</stp>
        <stp>ULT</stp>
        <tr r="B29" s="4"/>
      </tp>
      <tp>
        <v>54.84</v>
        <stp/>
        <stp>AXIA3_B_0</stp>
        <stp>ULT</stp>
        <tr r="B11" s="4"/>
      </tp>
      <tp>
        <v>2770</v>
        <stp/>
        <stp>ITSA4_B_0</stp>
        <stp>NEG</stp>
        <tr r="D25" s="4"/>
      </tp>
      <tp>
        <v>4939</v>
        <stp/>
        <stp>B3SA3_B_0</stp>
        <stp>NEG</stp>
        <tr r="D12" s="4"/>
      </tp>
      <tp>
        <v>-0.60439560439560125</v>
        <stp/>
        <stp>BBDC4_B_0</stp>
        <stp>VAR</stp>
        <tr r="C14" s="4"/>
      </tp>
      <tp>
        <v>74640455</v>
        <stp/>
        <stp>BBDC4_B_0</stp>
        <stp>VOL</stp>
        <tr r="E14" s="4"/>
      </tp>
      <tp>
        <v>51.25</v>
        <stp/>
        <stp>WEGE3_B_0</stp>
        <stp>ULT</stp>
        <tr r="B34" s="4"/>
      </tp>
      <tp>
        <v>-0.6357279084551789</v>
        <stp/>
        <stp>ABEV3_B_0</stp>
        <stp>VAR</stp>
        <tr r="C10" s="4"/>
      </tp>
      <tp>
        <v>79852242</v>
        <stp/>
        <stp>ABEV3_B_0</stp>
        <stp>VOL</stp>
        <tr r="E10" s="4"/>
      </tp>
      <tp>
        <v>15.63</v>
        <stp/>
        <stp>ABEV3_B_0</stp>
        <stp>ULT</stp>
        <tr r="B10" s="4"/>
      </tp>
      <tp>
        <v>0.72720125786163015</v>
        <stp/>
        <stp>WEGE3_B_0</stp>
        <stp>VAR</stp>
        <tr r="C34" s="4"/>
      </tp>
      <tp>
        <v>18.09</v>
        <stp/>
        <stp>BBDC4_B_0</stp>
        <stp>ULT</stp>
        <tr r="B14" s="4"/>
      </tp>
      <tp>
        <v>44686202</v>
        <stp/>
        <stp>WEGE3_B_0</stp>
        <stp>VOL</stp>
        <tr r="E34" s="4"/>
      </tp>
      <tp>
        <v>4.834654805646877E-2</v>
        <stp/>
        <stp>WDOFUT_F_0</stp>
        <stp>VAR</stp>
        <tr r="C33" s="4"/>
      </tp>
      <tp>
        <v>36281330900</v>
        <stp/>
        <stp>WDOFUT_F_0</stp>
        <stp>VOL</stp>
        <tr r="E33" s="4"/>
      </tp>
      <tp>
        <v>-3.6818851251859776E-2</v>
        <stp/>
        <stp>DI1F27_F_0</stp>
        <stp>VAR</stp>
        <tr r="C16" s="4"/>
      </tp>
      <tp>
        <v>-0.68149210903874191</v>
        <stp/>
        <stp>DI1F29_F_0</stp>
        <stp>VAR</stp>
        <tr r="C18" s="4"/>
      </tp>
      <tp>
        <v>-0.36576444769570216</v>
        <stp/>
        <stp>DI1F28_F_0</stp>
        <stp>VAR</stp>
        <tr r="C17" s="4"/>
      </tp>
      <tp>
        <v>-1.0782608695652252</v>
        <stp/>
        <stp>DI1F36_F_0</stp>
        <stp>VAR</stp>
        <tr r="C24" s="4"/>
      </tp>
      <tp>
        <v>-1.0771369006254421</v>
        <stp/>
        <stp>DI1F35_F_0</stp>
        <stp>VAR</stp>
        <tr r="C23" s="4"/>
      </tp>
      <tp>
        <v>-0.97323600973237623</v>
        <stp/>
        <stp>DI1F34_F_0</stp>
        <stp>VAR</stp>
        <tr r="C22" s="4"/>
      </tp>
      <tp>
        <v>-1.0786360473208152</v>
        <stp/>
        <stp>DI1F33_F_0</stp>
        <stp>VAR</stp>
        <tr r="C21" s="4"/>
      </tp>
      <tp>
        <v>-1.0541110330288148</v>
        <stp/>
        <stp>DI1F31_F_0</stp>
        <stp>VAR</stp>
        <tr r="C20" s="4"/>
      </tp>
      <tp>
        <v>-0.95473833097595318</v>
        <stp/>
        <stp>DI1F30_F_0</stp>
        <stp>VAR</stp>
        <tr r="C19" s="4"/>
      </tp>
      <tp>
        <v>9854970463.8999996</v>
        <stp/>
        <stp>DI1F29_F_0</stp>
        <stp>VOL</stp>
        <tr r="E18" s="4"/>
      </tp>
      <tp>
        <v>10689638174.379999</v>
        <stp/>
        <stp>DI1F28_F_0</stp>
        <stp>VOL</stp>
        <tr r="E17" s="4"/>
      </tp>
      <tp>
        <v>19911728854.529999</v>
        <stp/>
        <stp>DI1F27_F_0</stp>
        <stp>VOL</stp>
        <tr r="E16" s="4"/>
      </tp>
      <tp>
        <v>4549280341.4700003</v>
        <stp/>
        <stp>DI1F31_F_0</stp>
        <stp>VOL</stp>
        <tr r="E20" s="4"/>
      </tp>
      <tp>
        <v>1740208019.97</v>
        <stp/>
        <stp>DI1F30_F_0</stp>
        <stp>VOL</stp>
        <tr r="E19" s="4"/>
      </tp>
      <tp>
        <v>739464083.86000001</v>
        <stp/>
        <stp>DI1F33_F_0</stp>
        <stp>VOL</stp>
        <tr r="E21" s="4"/>
      </tp>
      <tp>
        <v>331428251.87</v>
        <stp/>
        <stp>DI1F35_F_0</stp>
        <stp>VOL</stp>
        <tr r="E23" s="4"/>
      </tp>
      <tp>
        <v>17255424.850000001</v>
        <stp/>
        <stp>DI1F34_F_0</stp>
        <stp>VOL</stp>
        <tr r="E22" s="4"/>
      </tp>
      <tp>
        <v>3096605.4</v>
        <stp/>
        <stp>DI1F36_F_0</stp>
        <stp>VOL</stp>
        <tr r="E24" s="4"/>
      </tp>
      <tp>
        <v>-0.68058076225046338</v>
        <stp/>
        <stp>BBAS3_B_0</stp>
        <stp>VAR</stp>
        <tr r="C13" s="4"/>
      </tp>
      <tp>
        <v>181063280</v>
        <stp/>
        <stp>BBAS3_B_0</stp>
        <stp>VOL</stp>
        <tr r="E13" s="4"/>
      </tp>
      <tp>
        <v>0.61461794019933125</v>
        <stp/>
        <stp>BPAC11_B_0</stp>
        <stp>VAR</stp>
        <tr r="C15" s="4"/>
      </tp>
      <tp>
        <v>142955031</v>
        <stp/>
        <stp>BPAC11_B_0</stp>
        <stp>VOL</stp>
        <tr r="E15" s="4"/>
      </tp>
      <tp>
        <v>21.89</v>
        <stp/>
        <stp>BBAS3_B_0</stp>
        <stp>ULT</stp>
        <tr r="B13" s="4"/>
      </tp>
      <tp>
        <v>1731</v>
        <stp/>
        <stp>SUZB3_B_0</stp>
        <stp>NEG</stp>
        <tr r="D31" s="4"/>
      </tp>
      <tp>
        <v>60.57</v>
        <stp/>
        <stp>BPAC11_B_0</stp>
        <stp>ULT</stp>
        <tr r="B15" s="4"/>
      </tp>
      <tp>
        <v>5173.5</v>
        <stp/>
        <stp>WDOFUT_F_0</stp>
        <stp>ULT</stp>
        <tr r="B33" s="4"/>
      </tp>
      <tp>
        <v>14.08</v>
        <stp/>
        <stp>DI1F31_F_0</stp>
        <stp>ULT</stp>
        <tr r="B20" s="4"/>
      </tp>
      <tp>
        <v>14.005000000000001</v>
        <stp/>
        <stp>DI1F30_F_0</stp>
        <stp>ULT</stp>
        <tr r="B19" s="4"/>
      </tp>
      <tp>
        <v>14.215</v>
        <stp/>
        <stp>DI1F33_F_0</stp>
        <stp>ULT</stp>
        <tr r="B21" s="4"/>
      </tp>
      <tp>
        <v>14.234999999999999</v>
        <stp/>
        <stp>DI1F35_F_0</stp>
        <stp>ULT</stp>
        <tr r="B23" s="4"/>
      </tp>
      <tp>
        <v>14.244999999999999</v>
        <stp/>
        <stp>DI1F34_F_0</stp>
        <stp>ULT</stp>
        <tr r="B22" s="4"/>
      </tp>
      <tp>
        <v>14.22</v>
        <stp/>
        <stp>DI1F36_F_0</stp>
        <stp>ULT</stp>
        <tr r="B24" s="4"/>
      </tp>
      <tp>
        <v>13.574999999999999</v>
        <stp/>
        <stp>DI1F27_F_0</stp>
        <stp>ULT</stp>
        <tr r="B16" s="4"/>
      </tp>
      <tp>
        <v>13.845000000000001</v>
        <stp/>
        <stp>DI1F29_F_0</stp>
        <stp>ULT</stp>
        <tr r="B18" s="4"/>
      </tp>
      <tp>
        <v>13.62</v>
        <stp/>
        <stp>DI1F28_F_0</stp>
        <stp>ULT</stp>
        <tr r="B17" s="4"/>
      </tp>
      <tp>
        <v>90</v>
        <stp/>
        <stp>T&amp;T0</stp>
        <stp>QUL</stp>
        <stp>39</stp>
        <tr r="K48" s="4"/>
      </tp>
      <tp>
        <v>88</v>
        <stp/>
        <stp>T&amp;T0</stp>
        <stp>QUL</stp>
        <stp>38</stp>
        <tr r="K47" s="4"/>
      </tp>
      <tp>
        <v>187150</v>
        <stp/>
        <stp>T&amp;T0</stp>
        <stp>PRE</stp>
        <stp>28</stp>
        <tr r="J37" s="4"/>
      </tp>
      <tp>
        <v>187125</v>
        <stp/>
        <stp>T&amp;T0</stp>
        <stp>PRE</stp>
        <stp>29</stp>
        <tr r="J38" s="4"/>
      </tp>
      <tp>
        <v>187165</v>
        <stp/>
        <stp>T&amp;T0</stp>
        <stp>PRE</stp>
        <stp>26</stp>
        <tr r="J35" s="4"/>
      </tp>
      <tp>
        <v>168</v>
        <stp/>
        <stp>T&amp;T0</stp>
        <stp>QUL</stp>
        <stp>31</stp>
        <tr r="K40" s="4"/>
      </tp>
      <tp>
        <v>187165</v>
        <stp/>
        <stp>T&amp;T0</stp>
        <stp>PRE</stp>
        <stp>27</stp>
        <tr r="J36" s="4"/>
      </tp>
      <tp>
        <v>86</v>
        <stp/>
        <stp>T&amp;T0</stp>
        <stp>QUL</stp>
        <stp>30</stp>
        <tr r="K39" s="4"/>
      </tp>
      <tp>
        <v>187160</v>
        <stp/>
        <stp>T&amp;T0</stp>
        <stp>PRE</stp>
        <stp>24</stp>
        <tr r="J33" s="4"/>
      </tp>
      <tp>
        <v>97</v>
        <stp/>
        <stp>T&amp;T0</stp>
        <stp>QUL</stp>
        <stp>33</stp>
        <tr r="K42" s="4"/>
      </tp>
      <tp>
        <v>187170</v>
        <stp/>
        <stp>T&amp;T0</stp>
        <stp>PRE</stp>
        <stp>25</stp>
        <tr r="J34" s="4"/>
      </tp>
      <tp>
        <v>85</v>
        <stp/>
        <stp>T&amp;T0</stp>
        <stp>QUL</stp>
        <stp>32</stp>
        <tr r="K41" s="4"/>
      </tp>
      <tp>
        <v>187145</v>
        <stp/>
        <stp>T&amp;T0</stp>
        <stp>PRE</stp>
        <stp>22</stp>
        <tr r="J31" s="4"/>
      </tp>
      <tp>
        <v>87</v>
        <stp/>
        <stp>T&amp;T0</stp>
        <stp>QUL</stp>
        <stp>35</stp>
        <tr r="K44" s="4"/>
      </tp>
      <tp>
        <v>187150</v>
        <stp/>
        <stp>T&amp;T0</stp>
        <stp>PRE</stp>
        <stp>23</stp>
        <tr r="J32" s="4"/>
      </tp>
      <tp>
        <v>132</v>
        <stp/>
        <stp>T&amp;T0</stp>
        <stp>QUL</stp>
        <stp>34</stp>
        <tr r="K43" s="4"/>
      </tp>
      <tp>
        <v>187130</v>
        <stp/>
        <stp>T&amp;T0</stp>
        <stp>PRE</stp>
        <stp>20</stp>
        <tr r="J29" s="4"/>
      </tp>
      <tp>
        <v>125</v>
        <stp/>
        <stp>T&amp;T0</stp>
        <stp>QUL</stp>
        <stp>37</stp>
        <tr r="K46" s="4"/>
      </tp>
      <tp>
        <v>187135</v>
        <stp/>
        <stp>T&amp;T0</stp>
        <stp>PRE</stp>
        <stp>21</stp>
        <tr r="J30" s="4"/>
      </tp>
      <tp>
        <v>103</v>
        <stp/>
        <stp>T&amp;T0</stp>
        <stp>QUL</stp>
        <stp>36</stp>
        <tr r="K45" s="4"/>
      </tp>
      <tp>
        <v>79</v>
        <stp/>
        <stp>T&amp;T0</stp>
        <stp>QUL</stp>
        <stp>29</stp>
        <tr r="K38" s="4"/>
      </tp>
      <tp>
        <v>144</v>
        <stp/>
        <stp>T&amp;T0</stp>
        <stp>QUL</stp>
        <stp>28</stp>
        <tr r="K37" s="4"/>
      </tp>
      <tp>
        <v>187145</v>
        <stp/>
        <stp>T&amp;T0</stp>
        <stp>PRE</stp>
        <stp>38</stp>
        <tr r="J47" s="4"/>
      </tp>
      <tp>
        <v>187140</v>
        <stp/>
        <stp>T&amp;T0</stp>
        <stp>PRE</stp>
        <stp>39</stp>
        <tr r="J48" s="4"/>
      </tp>
      <tp>
        <v>187150</v>
        <stp/>
        <stp>T&amp;T0</stp>
        <stp>PRE</stp>
        <stp>36</stp>
        <tr r="J45" s="4"/>
      </tp>
      <tp>
        <v>132</v>
        <stp/>
        <stp>T&amp;T0</stp>
        <stp>QUL</stp>
        <stp>21</stp>
        <tr r="K30" s="4"/>
      </tp>
      <tp>
        <v>187155</v>
        <stp/>
        <stp>T&amp;T0</stp>
        <stp>PRE</stp>
        <stp>37</stp>
        <tr r="J46" s="4"/>
      </tp>
      <tp>
        <v>83</v>
        <stp/>
        <stp>T&amp;T0</stp>
        <stp>QUL</stp>
        <stp>20</stp>
        <tr r="K29" s="4"/>
      </tp>
      <tp>
        <v>187135</v>
        <stp/>
        <stp>T&amp;T0</stp>
        <stp>PRE</stp>
        <stp>34</stp>
        <tr r="J43" s="4"/>
      </tp>
      <tp>
        <v>500</v>
        <stp/>
        <stp>T&amp;T0</stp>
        <stp>QUL</stp>
        <stp>23</stp>
        <tr r="K32" s="4"/>
      </tp>
      <tp>
        <v>187140</v>
        <stp/>
        <stp>T&amp;T0</stp>
        <stp>PRE</stp>
        <stp>35</stp>
        <tr r="J44" s="4"/>
      </tp>
      <tp>
        <v>126</v>
        <stp/>
        <stp>T&amp;T0</stp>
        <stp>QUL</stp>
        <stp>22</stp>
        <tr r="K31" s="4"/>
      </tp>
      <tp>
        <v>187115</v>
        <stp/>
        <stp>T&amp;T0</stp>
        <stp>PRE</stp>
        <stp>32</stp>
        <tr r="J41" s="4"/>
      </tp>
      <tp>
        <v>87</v>
        <stp/>
        <stp>T&amp;T0</stp>
        <stp>QUL</stp>
        <stp>25</stp>
        <tr r="K34" s="4"/>
      </tp>
      <tp>
        <v>187125</v>
        <stp/>
        <stp>T&amp;T0</stp>
        <stp>PRE</stp>
        <stp>33</stp>
        <tr r="J42" s="4"/>
      </tp>
      <tp>
        <v>99</v>
        <stp/>
        <stp>T&amp;T0</stp>
        <stp>QUL</stp>
        <stp>24</stp>
        <tr r="K33" s="4"/>
      </tp>
      <tp>
        <v>187120</v>
        <stp/>
        <stp>T&amp;T0</stp>
        <stp>PRE</stp>
        <stp>30</stp>
        <tr r="J39" s="4"/>
      </tp>
      <tp>
        <v>79</v>
        <stp/>
        <stp>T&amp;T0</stp>
        <stp>QUL</stp>
        <stp>27</stp>
        <tr r="K36" s="4"/>
      </tp>
      <tp>
        <v>187100</v>
        <stp/>
        <stp>T&amp;T0</stp>
        <stp>PRE</stp>
        <stp>31</stp>
        <tr r="J40" s="4"/>
      </tp>
      <tp>
        <v>137</v>
        <stp/>
        <stp>T&amp;T0</stp>
        <stp>QUL</stp>
        <stp>26</stp>
        <tr r="K35" s="4"/>
      </tp>
      <tp>
        <v>287</v>
        <stp/>
        <stp>T&amp;T0</stp>
        <stp>QUL</stp>
        <stp>19</stp>
        <tr r="K28" s="4"/>
      </tp>
      <tp>
        <v>88</v>
        <stp/>
        <stp>T&amp;T0</stp>
        <stp>QUL</stp>
        <stp>18</stp>
        <tr r="K27" s="4"/>
      </tp>
      <tp>
        <v>87</v>
        <stp/>
        <stp>T&amp;T0</stp>
        <stp>QUL</stp>
        <stp>11</stp>
        <tr r="K20" s="4"/>
      </tp>
      <tp>
        <v>207</v>
        <stp/>
        <stp>T&amp;T0</stp>
        <stp>QUL</stp>
        <stp>10</stp>
        <tr r="K19" s="4"/>
      </tp>
      <tp>
        <v>95</v>
        <stp/>
        <stp>T&amp;T0</stp>
        <stp>QUL</stp>
        <stp>13</stp>
        <tr r="K22" s="4"/>
      </tp>
      <tp>
        <v>500</v>
        <stp/>
        <stp>T&amp;T0</stp>
        <stp>QUL</stp>
        <stp>12</stp>
        <tr r="K21" s="4"/>
      </tp>
      <tp>
        <v>90</v>
        <stp/>
        <stp>T&amp;T0</stp>
        <stp>QUL</stp>
        <stp>15</stp>
        <tr r="K24" s="4"/>
      </tp>
      <tp>
        <v>79</v>
        <stp/>
        <stp>T&amp;T0</stp>
        <stp>QUL</stp>
        <stp>14</stp>
        <tr r="K23" s="4"/>
      </tp>
      <tp>
        <v>154</v>
        <stp/>
        <stp>T&amp;T0</stp>
        <stp>QUL</stp>
        <stp>17</stp>
        <tr r="K26" s="4"/>
      </tp>
      <tp>
        <v>99</v>
        <stp/>
        <stp>T&amp;T0</stp>
        <stp>QUL</stp>
        <stp>16</stp>
        <tr r="K25" s="4"/>
      </tp>
      <tp>
        <v>187130</v>
        <stp/>
        <stp>T&amp;T0</stp>
        <stp>PRE</stp>
        <stp>18</stp>
        <tr r="J27" s="4"/>
      </tp>
      <tp>
        <v>187120</v>
        <stp/>
        <stp>T&amp;T0</stp>
        <stp>PRE</stp>
        <stp>19</stp>
        <tr r="J28" s="4"/>
      </tp>
      <tp>
        <v>187125</v>
        <stp/>
        <stp>T&amp;T0</stp>
        <stp>PRE</stp>
        <stp>16</stp>
        <tr r="J25" s="4"/>
      </tp>
      <tp>
        <v>187120</v>
        <stp/>
        <stp>T&amp;T0</stp>
        <stp>PRE</stp>
        <stp>17</stp>
        <tr r="J26" s="4"/>
      </tp>
      <tp>
        <v>187145</v>
        <stp/>
        <stp>T&amp;T0</stp>
        <stp>PRE</stp>
        <stp>14</stp>
        <tr r="J23" s="4"/>
      </tp>
      <tp>
        <v>187140</v>
        <stp/>
        <stp>T&amp;T0</stp>
        <stp>PRE</stp>
        <stp>15</stp>
        <tr r="J24" s="4"/>
      </tp>
      <tp>
        <v>187175</v>
        <stp/>
        <stp>T&amp;T0</stp>
        <stp>PRE</stp>
        <stp>12</stp>
        <tr r="J21" s="4"/>
      </tp>
      <tp>
        <v>187160</v>
        <stp/>
        <stp>T&amp;T0</stp>
        <stp>PRE</stp>
        <stp>13</stp>
        <tr r="J22" s="4"/>
      </tp>
      <tp>
        <v>187175</v>
        <stp/>
        <stp>T&amp;T0</stp>
        <stp>PRE</stp>
        <stp>10</stp>
        <tr r="J19" s="4"/>
      </tp>
      <tp>
        <v>187180</v>
        <stp/>
        <stp>T&amp;T0</stp>
        <stp>PRE</stp>
        <stp>11</stp>
        <tr r="J20" s="4"/>
      </tp>
      <tp>
        <v>187100</v>
        <stp/>
        <stp>T&amp;T0</stp>
        <stp>PRE</stp>
        <stp>48</stp>
        <tr r="J57" s="4"/>
      </tp>
      <tp>
        <v>187125</v>
        <stp/>
        <stp>T&amp;T0</stp>
        <stp>PRE</stp>
        <stp>49</stp>
        <tr r="J58" s="4"/>
      </tp>
      <tp>
        <v>187080</v>
        <stp/>
        <stp>T&amp;T0</stp>
        <stp>PRE</stp>
        <stp>46</stp>
        <tr r="J55" s="4"/>
      </tp>
      <tp>
        <v>108</v>
        <stp/>
        <stp>T&amp;T0</stp>
        <stp>QUL</stp>
        <stp>51</stp>
        <tr r="K60" s="4"/>
      </tp>
      <tp>
        <v>187075</v>
        <stp/>
        <stp>T&amp;T0</stp>
        <stp>PRE</stp>
        <stp>47</stp>
        <tr r="J56" s="4"/>
      </tp>
      <tp>
        <v>88</v>
        <stp/>
        <stp>T&amp;T0</stp>
        <stp>QUL</stp>
        <stp>50</stp>
        <tr r="K59" s="4"/>
      </tp>
      <tp>
        <v>187085</v>
        <stp/>
        <stp>T&amp;T0</stp>
        <stp>PRE</stp>
        <stp>44</stp>
        <tr r="J53" s="4"/>
      </tp>
      <tp>
        <v>87</v>
        <stp/>
        <stp>T&amp;T0</stp>
        <stp>QUL</stp>
        <stp>53</stp>
        <tr r="K62" s="4"/>
      </tp>
      <tp>
        <v>187085</v>
        <stp/>
        <stp>T&amp;T0</stp>
        <stp>PRE</stp>
        <stp>45</stp>
        <tr r="J54" s="4"/>
      </tp>
      <tp>
        <v>90</v>
        <stp/>
        <stp>T&amp;T0</stp>
        <stp>QUL</stp>
        <stp>52</stp>
        <tr r="K61" s="4"/>
      </tp>
      <tp>
        <v>187090</v>
        <stp/>
        <stp>T&amp;T0</stp>
        <stp>PRE</stp>
        <stp>42</stp>
        <tr r="J51" s="4"/>
      </tp>
      <tp>
        <v>187075</v>
        <stp/>
        <stp>T&amp;T0</stp>
        <stp>PRE</stp>
        <stp>43</stp>
        <tr r="J52" s="4"/>
      </tp>
      <tp>
        <v>87</v>
        <stp/>
        <stp>T&amp;T0</stp>
        <stp>QUL</stp>
        <stp>54</stp>
        <tr r="K63" s="4"/>
      </tp>
      <tp>
        <v>187125</v>
        <stp/>
        <stp>T&amp;T0</stp>
        <stp>PRE</stp>
        <stp>40</stp>
        <tr r="J49" s="4"/>
      </tp>
      <tp>
        <v>187095</v>
        <stp/>
        <stp>T&amp;T0</stp>
        <stp>PRE</stp>
        <stp>41</stp>
        <tr r="J50" s="4"/>
      </tp>
      <tp>
        <v>207</v>
        <stp/>
        <stp>T&amp;T0</stp>
        <stp>QUL</stp>
        <stp>49</stp>
        <tr r="K58" s="4"/>
      </tp>
      <tp>
        <v>87</v>
        <stp/>
        <stp>T&amp;T0</stp>
        <stp>QUL</stp>
        <stp>48</stp>
        <tr r="K57" s="4"/>
      </tp>
      <tp>
        <v>87</v>
        <stp/>
        <stp>T&amp;T0</stp>
        <stp>QUL</stp>
        <stp>41</stp>
        <tr r="K50" s="4"/>
      </tp>
      <tp>
        <v>92</v>
        <stp/>
        <stp>T&amp;T0</stp>
        <stp>QUL</stp>
        <stp>40</stp>
        <tr r="K49" s="4"/>
      </tp>
      <tp>
        <v>187085</v>
        <stp/>
        <stp>T&amp;T0</stp>
        <stp>PRE</stp>
        <stp>54</stp>
        <tr r="J63" s="4"/>
      </tp>
      <tp>
        <v>87</v>
        <stp/>
        <stp>T&amp;T0</stp>
        <stp>QUL</stp>
        <stp>43</stp>
        <tr r="K52" s="4"/>
      </tp>
      <tp>
        <v>115</v>
        <stp/>
        <stp>T&amp;T0</stp>
        <stp>QUL</stp>
        <stp>42</stp>
        <tr r="K51" s="4"/>
      </tp>
      <tp>
        <v>187110</v>
        <stp/>
        <stp>T&amp;T0</stp>
        <stp>PRE</stp>
        <stp>52</stp>
        <tr r="J61" s="4"/>
      </tp>
      <tp>
        <v>108</v>
        <stp/>
        <stp>T&amp;T0</stp>
        <stp>QUL</stp>
        <stp>45</stp>
        <tr r="K54" s="4"/>
      </tp>
      <tp>
        <v>187100</v>
        <stp/>
        <stp>T&amp;T0</stp>
        <stp>PRE</stp>
        <stp>53</stp>
        <tr r="J62" s="4"/>
      </tp>
      <tp>
        <v>141</v>
        <stp/>
        <stp>T&amp;T0</stp>
        <stp>QUL</stp>
        <stp>44</stp>
        <tr r="K53" s="4"/>
      </tp>
      <tp>
        <v>187115</v>
        <stp/>
        <stp>T&amp;T0</stp>
        <stp>PRE</stp>
        <stp>50</stp>
        <tr r="J59" s="4"/>
      </tp>
      <tp>
        <v>122</v>
        <stp/>
        <stp>T&amp;T0</stp>
        <stp>QUL</stp>
        <stp>47</stp>
        <tr r="K56" s="4"/>
      </tp>
      <tp>
        <v>187115</v>
        <stp/>
        <stp>T&amp;T0</stp>
        <stp>PRE</stp>
        <stp>51</stp>
        <tr r="J60" s="4"/>
      </tp>
      <tp>
        <v>101</v>
        <stp/>
        <stp>T&amp;T0</stp>
        <stp>QUL</stp>
        <stp>46</stp>
        <tr r="K55" s="4"/>
      </tp>
      <tp t="s">
        <v>UBS</v>
        <stp/>
        <stp>T&amp;T0</stp>
        <stp>ACP</stp>
        <stp>39</stp>
        <tr r="I48" s="4"/>
      </tp>
      <tp t="s">
        <v>UBS</v>
        <stp/>
        <stp>T&amp;T0</stp>
        <stp>ACP</stp>
        <stp>38</stp>
        <tr r="I47" s="4"/>
      </tp>
      <tp t="s">
        <v>XP</v>
        <stp/>
        <stp>T&amp;T0</stp>
        <stp>ACP</stp>
        <stp>37</stp>
        <tr r="I46" s="4"/>
      </tp>
      <tp t="s">
        <v>XP</v>
        <stp/>
        <stp>T&amp;T0</stp>
        <stp>ACP</stp>
        <stp>36</stp>
        <tr r="I45" s="4"/>
      </tp>
      <tp t="s">
        <v>XP</v>
        <stp/>
        <stp>T&amp;T0</stp>
        <stp>ACP</stp>
        <stp>35</stp>
        <tr r="I44" s="4"/>
      </tp>
      <tp t="s">
        <v>Ideal</v>
        <stp/>
        <stp>T&amp;T0</stp>
        <stp>ACP</stp>
        <stp>34</stp>
        <tr r="I43" s="4"/>
      </tp>
      <tp t="s">
        <v>-</v>
        <stp/>
        <stp>T&amp;T0</stp>
        <stp>ACP</stp>
        <stp>33</stp>
        <tr r="I42" s="4"/>
      </tp>
      <tp t="s">
        <v>Ideal</v>
        <stp/>
        <stp>T&amp;T0</stp>
        <stp>ACP</stp>
        <stp>32</stp>
        <tr r="I41" s="4"/>
      </tp>
      <tp t="s">
        <v>-</v>
        <stp/>
        <stp>T&amp;T0</stp>
        <stp>ACP</stp>
        <stp>31</stp>
        <tr r="I40" s="4"/>
      </tp>
      <tp t="s">
        <v>Ideal</v>
        <stp/>
        <stp>T&amp;T0</stp>
        <stp>ACP</stp>
        <stp>30</stp>
        <tr r="I39" s="4"/>
      </tp>
      <tp t="s">
        <v>-</v>
        <stp/>
        <stp>T&amp;T0</stp>
        <stp>AVD</stp>
        <stp>38</stp>
        <tr r="L47" s="4"/>
      </tp>
      <tp t="s">
        <v>-</v>
        <stp/>
        <stp>T&amp;T0</stp>
        <stp>AVD</stp>
        <stp>39</stp>
        <tr r="L48" s="4"/>
      </tp>
      <tp t="s">
        <v>-</v>
        <stp/>
        <stp>T&amp;T0</stp>
        <stp>AVD</stp>
        <stp>32</stp>
        <tr r="L41" s="4"/>
      </tp>
      <tp t="s">
        <v>UBS</v>
        <stp/>
        <stp>T&amp;T0</stp>
        <stp>AVD</stp>
        <stp>33</stp>
        <tr r="L42" s="4"/>
      </tp>
      <tp t="s">
        <v>-</v>
        <stp/>
        <stp>T&amp;T0</stp>
        <stp>AVD</stp>
        <stp>30</stp>
        <tr r="L39" s="4"/>
      </tp>
      <tp t="s">
        <v>XP</v>
        <stp/>
        <stp>T&amp;T0</stp>
        <stp>AVD</stp>
        <stp>31</stp>
        <tr r="L40" s="4"/>
      </tp>
      <tp t="s">
        <v>-</v>
        <stp/>
        <stp>T&amp;T0</stp>
        <stp>AVD</stp>
        <stp>36</stp>
        <tr r="L45" s="4"/>
      </tp>
      <tp t="s">
        <v>-</v>
        <stp/>
        <stp>T&amp;T0</stp>
        <stp>AVD</stp>
        <stp>37</stp>
        <tr r="L46" s="4"/>
      </tp>
      <tp t="s">
        <v>-</v>
        <stp/>
        <stp>T&amp;T0</stp>
        <stp>AVD</stp>
        <stp>34</stp>
        <tr r="L43" s="4"/>
      </tp>
      <tp t="s">
        <v>-</v>
        <stp/>
        <stp>T&amp;T0</stp>
        <stp>AVD</stp>
        <stp>35</stp>
        <tr r="L44" s="4"/>
      </tp>
      <tp t="s">
        <v>Ideal</v>
        <stp/>
        <stp>T&amp;T0</stp>
        <stp>ACP</stp>
        <stp>29</stp>
        <tr r="I38" s="4"/>
      </tp>
      <tp t="s">
        <v>XP</v>
        <stp/>
        <stp>T&amp;T0</stp>
        <stp>ACP</stp>
        <stp>28</stp>
        <tr r="I37" s="4"/>
      </tp>
      <tp t="s">
        <v>Ideal</v>
        <stp/>
        <stp>T&amp;T0</stp>
        <stp>ACP</stp>
        <stp>27</stp>
        <tr r="I36" s="4"/>
      </tp>
      <tp t="s">
        <v>XP</v>
        <stp/>
        <stp>T&amp;T0</stp>
        <stp>ACP</stp>
        <stp>26</stp>
        <tr r="I35" s="4"/>
      </tp>
      <tp t="s">
        <v>XP</v>
        <stp/>
        <stp>T&amp;T0</stp>
        <stp>ACP</stp>
        <stp>25</stp>
        <tr r="I34" s="4"/>
      </tp>
      <tp t="s">
        <v>-</v>
        <stp/>
        <stp>T&amp;T0</stp>
        <stp>ACP</stp>
        <stp>24</stp>
        <tr r="I33" s="4"/>
      </tp>
      <tp t="s">
        <v>-</v>
        <stp/>
        <stp>T&amp;T0</stp>
        <stp>ACP</stp>
        <stp>23</stp>
        <tr r="I32" s="4"/>
      </tp>
      <tp t="s">
        <v>-</v>
        <stp/>
        <stp>T&amp;T0</stp>
        <stp>ACP</stp>
        <stp>22</stp>
        <tr r="I31" s="4"/>
      </tp>
      <tp t="s">
        <v>-</v>
        <stp/>
        <stp>T&amp;T0</stp>
        <stp>ACP</stp>
        <stp>21</stp>
        <tr r="I30" s="4"/>
      </tp>
      <tp t="s">
        <v>-</v>
        <stp/>
        <stp>T&amp;T0</stp>
        <stp>ACP</stp>
        <stp>20</stp>
        <tr r="I29" s="4"/>
      </tp>
      <tp t="s">
        <v>-</v>
        <stp/>
        <stp>T&amp;T0</stp>
        <stp>AVD</stp>
        <stp>28</stp>
        <tr r="L37" s="4"/>
      </tp>
      <tp t="s">
        <v>-</v>
        <stp/>
        <stp>T&amp;T0</stp>
        <stp>AVD</stp>
        <stp>29</stp>
        <tr r="L38" s="4"/>
      </tp>
      <tp t="s">
        <v>XP</v>
        <stp/>
        <stp>T&amp;T0</stp>
        <stp>AVD</stp>
        <stp>22</stp>
        <tr r="L31" s="4"/>
      </tp>
      <tp t="s">
        <v>Elliot-Warren</v>
        <stp/>
        <stp>T&amp;T0</stp>
        <stp>AVD</stp>
        <stp>23</stp>
        <tr r="L32" s="4"/>
      </tp>
      <tp t="s">
        <v>XP</v>
        <stp/>
        <stp>T&amp;T0</stp>
        <stp>AVD</stp>
        <stp>20</stp>
        <tr r="L29" s="4"/>
      </tp>
      <tp t="s">
        <v>Ideal</v>
        <stp/>
        <stp>T&amp;T0</stp>
        <stp>AVD</stp>
        <stp>21</stp>
        <tr r="L30" s="4"/>
      </tp>
      <tp t="s">
        <v>-</v>
        <stp/>
        <stp>T&amp;T0</stp>
        <stp>AVD</stp>
        <stp>26</stp>
        <tr r="L35" s="4"/>
      </tp>
      <tp t="s">
        <v>-</v>
        <stp/>
        <stp>T&amp;T0</stp>
        <stp>AVD</stp>
        <stp>27</stp>
        <tr r="L36" s="4"/>
      </tp>
      <tp t="s">
        <v>UBS</v>
        <stp/>
        <stp>T&amp;T0</stp>
        <stp>AVD</stp>
        <stp>24</stp>
        <tr r="L33" s="4"/>
      </tp>
      <tp t="s">
        <v>-</v>
        <stp/>
        <stp>T&amp;T0</stp>
        <stp>AVD</stp>
        <stp>25</stp>
        <tr r="L34" s="4"/>
      </tp>
      <tp t="s">
        <v>11:16:47</v>
        <stp/>
        <stp>T&amp;T0</stp>
        <stp>DAT</stp>
        <stp>49</stp>
        <tr r="H58" s="4"/>
      </tp>
      <tp t="s">
        <v>11:16:49</v>
        <stp/>
        <stp>T&amp;T0</stp>
        <stp>DAT</stp>
        <stp>48</stp>
        <tr r="H57" s="4"/>
      </tp>
      <tp t="s">
        <v>-</v>
        <stp/>
        <stp>T&amp;T0</stp>
        <stp>ACP</stp>
        <stp>19</stp>
        <tr r="I28" s="4"/>
      </tp>
      <tp t="s">
        <v>Ideal</v>
        <stp/>
        <stp>T&amp;T0</stp>
        <stp>ACP</stp>
        <stp>18</stp>
        <tr r="I27" s="4"/>
      </tp>
      <tp t="s">
        <v>11:16:53</v>
        <stp/>
        <stp>T&amp;T0</stp>
        <stp>DAT</stp>
        <stp>45</stp>
        <tr r="H54" s="4"/>
      </tp>
      <tp t="s">
        <v>UBS</v>
        <stp/>
        <stp>T&amp;T0</stp>
        <stp>ACP</stp>
        <stp>17</stp>
        <tr r="I26" s="4"/>
      </tp>
      <tp t="s">
        <v>11:16:55</v>
        <stp/>
        <stp>T&amp;T0</stp>
        <stp>DAT</stp>
        <stp>44</stp>
        <tr r="H53" s="4"/>
      </tp>
      <tp t="s">
        <v>Ideal</v>
        <stp/>
        <stp>T&amp;T0</stp>
        <stp>ACP</stp>
        <stp>16</stp>
        <tr r="I25" s="4"/>
      </tp>
      <tp t="s">
        <v>11:16:52</v>
        <stp/>
        <stp>T&amp;T0</stp>
        <stp>DAT</stp>
        <stp>47</stp>
        <tr r="H56" s="4"/>
      </tp>
      <tp t="s">
        <v>CM Capital</v>
        <stp/>
        <stp>T&amp;T0</stp>
        <stp>ACP</stp>
        <stp>15</stp>
        <tr r="I24" s="4"/>
      </tp>
      <tp t="s">
        <v>11:16:52</v>
        <stp/>
        <stp>T&amp;T0</stp>
        <stp>DAT</stp>
        <stp>46</stp>
        <tr r="H55" s="4"/>
      </tp>
      <tp t="s">
        <v>Ideal</v>
        <stp/>
        <stp>T&amp;T0</stp>
        <stp>ACP</stp>
        <stp>14</stp>
        <tr r="I23" s="4"/>
      </tp>
      <tp t="s">
        <v>11:17:02</v>
        <stp/>
        <stp>T&amp;T0</stp>
        <stp>DAT</stp>
        <stp>41</stp>
        <tr r="H50" s="4"/>
      </tp>
      <tp t="s">
        <v>Ideal</v>
        <stp/>
        <stp>T&amp;T0</stp>
        <stp>ACP</stp>
        <stp>13</stp>
        <tr r="I22" s="4"/>
      </tp>
      <tp t="s">
        <v>11:17:02</v>
        <stp/>
        <stp>T&amp;T0</stp>
        <stp>DAT</stp>
        <stp>40</stp>
        <tr r="H49" s="4"/>
      </tp>
      <tp t="s">
        <v>Safra</v>
        <stp/>
        <stp>T&amp;T0</stp>
        <stp>ACP</stp>
        <stp>12</stp>
        <tr r="I21" s="4"/>
      </tp>
      <tp t="s">
        <v>11:16:56</v>
        <stp/>
        <stp>T&amp;T0</stp>
        <stp>DAT</stp>
        <stp>43</stp>
        <tr r="H52" s="4"/>
      </tp>
      <tp t="s">
        <v>XP</v>
        <stp/>
        <stp>T&amp;T0</stp>
        <stp>ACP</stp>
        <stp>11</stp>
        <tr r="I20" s="4"/>
      </tp>
      <tp t="s">
        <v>11:17:01</v>
        <stp/>
        <stp>T&amp;T0</stp>
        <stp>DAT</stp>
        <stp>42</stp>
        <tr r="H51" s="4"/>
      </tp>
      <tp t="s">
        <v>XP</v>
        <stp/>
        <stp>T&amp;T0</stp>
        <stp>ACP</stp>
        <stp>10</stp>
        <tr r="I19" s="4"/>
      </tp>
      <tp t="s">
        <v>-</v>
        <stp/>
        <stp>T&amp;T0</stp>
        <stp>AVD</stp>
        <stp>18</stp>
        <tr r="L27" s="4"/>
      </tp>
      <tp t="s">
        <v>BTG</v>
        <stp/>
        <stp>T&amp;T0</stp>
        <stp>AVD</stp>
        <stp>19</stp>
        <tr r="L28" s="4"/>
      </tp>
      <tp t="s">
        <v>-</v>
        <stp/>
        <stp>T&amp;T0</stp>
        <stp>AVD</stp>
        <stp>12</stp>
        <tr r="L21" s="4"/>
      </tp>
      <tp t="s">
        <v>-</v>
        <stp/>
        <stp>T&amp;T0</stp>
        <stp>AVD</stp>
        <stp>13</stp>
        <tr r="L22" s="4"/>
      </tp>
      <tp t="s">
        <v>-</v>
        <stp/>
        <stp>T&amp;T0</stp>
        <stp>AVD</stp>
        <stp>10</stp>
        <tr r="L19" s="4"/>
      </tp>
      <tp t="s">
        <v>-</v>
        <stp/>
        <stp>T&amp;T0</stp>
        <stp>AVD</stp>
        <stp>11</stp>
        <tr r="L20" s="4"/>
      </tp>
      <tp t="s">
        <v>-</v>
        <stp/>
        <stp>T&amp;T0</stp>
        <stp>AVD</stp>
        <stp>16</stp>
        <tr r="L25" s="4"/>
      </tp>
      <tp t="s">
        <v>-</v>
        <stp/>
        <stp>T&amp;T0</stp>
        <stp>AVD</stp>
        <stp>17</stp>
        <tr r="L26" s="4"/>
      </tp>
      <tp t="s">
        <v>-</v>
        <stp/>
        <stp>T&amp;T0</stp>
        <stp>AVD</stp>
        <stp>14</stp>
        <tr r="L23" s="4"/>
      </tp>
      <tp t="s">
        <v>-</v>
        <stp/>
        <stp>T&amp;T0</stp>
        <stp>AVD</stp>
        <stp>15</stp>
        <tr r="L24" s="4"/>
      </tp>
      <tp t="s">
        <v>11:16:46</v>
        <stp/>
        <stp>T&amp;T0</stp>
        <stp>DAT</stp>
        <stp>54</stp>
        <tr r="H63" s="4"/>
      </tp>
      <tp t="s">
        <v>11:16:47</v>
        <stp/>
        <stp>T&amp;T0</stp>
        <stp>DAT</stp>
        <stp>51</stp>
        <tr r="H60" s="4"/>
      </tp>
      <tp t="s">
        <v>11:16:47</v>
        <stp/>
        <stp>T&amp;T0</stp>
        <stp>DAT</stp>
        <stp>50</stp>
        <tr r="H59" s="4"/>
      </tp>
      <tp t="s">
        <v>11:16:46</v>
        <stp/>
        <stp>T&amp;T0</stp>
        <stp>DAT</stp>
        <stp>53</stp>
        <tr r="H62" s="4"/>
      </tp>
      <tp t="s">
        <v>11:16:46</v>
        <stp/>
        <stp>T&amp;T0</stp>
        <stp>DAT</stp>
        <stp>52</stp>
        <tr r="H61" s="4"/>
      </tp>
      <tp t="s">
        <v>11:17:11</v>
        <stp/>
        <stp>T&amp;T0</stp>
        <stp>DAT</stp>
        <stp>29</stp>
        <tr r="H38" s="4"/>
      </tp>
      <tp t="s">
        <v>11:17:12</v>
        <stp/>
        <stp>T&amp;T0</stp>
        <stp>DAT</stp>
        <stp>28</stp>
        <tr r="H37" s="4"/>
      </tp>
      <tp t="s">
        <v>11:17:14</v>
        <stp/>
        <stp>T&amp;T0</stp>
        <stp>DAT</stp>
        <stp>25</stp>
        <tr r="H34" s="4"/>
      </tp>
      <tp t="s">
        <v>11:17:15</v>
        <stp/>
        <stp>T&amp;T0</stp>
        <stp>DAT</stp>
        <stp>24</stp>
        <tr r="H33" s="4"/>
      </tp>
      <tp t="s">
        <v>11:17:12</v>
        <stp/>
        <stp>T&amp;T0</stp>
        <stp>DAT</stp>
        <stp>27</stp>
        <tr r="H36" s="4"/>
      </tp>
      <tp t="s">
        <v>11:17:12</v>
        <stp/>
        <stp>T&amp;T0</stp>
        <stp>DAT</stp>
        <stp>26</stp>
        <tr r="H35" s="4"/>
      </tp>
      <tp t="s">
        <v>11:17:20</v>
        <stp/>
        <stp>T&amp;T0</stp>
        <stp>DAT</stp>
        <stp>21</stp>
        <tr r="H30" s="4"/>
      </tp>
      <tp t="s">
        <v>11:17:20</v>
        <stp/>
        <stp>T&amp;T0</stp>
        <stp>DAT</stp>
        <stp>20</stp>
        <tr r="H29" s="4"/>
      </tp>
      <tp t="s">
        <v>11:17:16</v>
        <stp/>
        <stp>T&amp;T0</stp>
        <stp>DAT</stp>
        <stp>23</stp>
        <tr r="H32" s="4"/>
      </tp>
      <tp t="s">
        <v>11:17:20</v>
        <stp/>
        <stp>T&amp;T0</stp>
        <stp>DAT</stp>
        <stp>22</stp>
        <tr r="H31" s="4"/>
      </tp>
      <tp t="s">
        <v>11:17:03</v>
        <stp/>
        <stp>T&amp;T0</stp>
        <stp>DAT</stp>
        <stp>39</stp>
        <tr r="H48" s="4"/>
      </tp>
      <tp t="s">
        <v>11:17:03</v>
        <stp/>
        <stp>T&amp;T0</stp>
        <stp>DAT</stp>
        <stp>38</stp>
        <tr r="H47" s="4"/>
      </tp>
      <tp t="s">
        <v>11:17:03</v>
        <stp/>
        <stp>T&amp;T0</stp>
        <stp>DAT</stp>
        <stp>35</stp>
        <tr r="H44" s="4"/>
      </tp>
      <tp t="s">
        <v>11:17:03</v>
        <stp/>
        <stp>T&amp;T0</stp>
        <stp>DAT</stp>
        <stp>34</stp>
        <tr r="H43" s="4"/>
      </tp>
      <tp t="s">
        <v>11:17:03</v>
        <stp/>
        <stp>T&amp;T0</stp>
        <stp>DAT</stp>
        <stp>37</stp>
        <tr r="H46" s="4"/>
      </tp>
      <tp t="s">
        <v>11:17:03</v>
        <stp/>
        <stp>T&amp;T0</stp>
        <stp>DAT</stp>
        <stp>36</stp>
        <tr r="H45" s="4"/>
      </tp>
      <tp t="s">
        <v>11:17:10</v>
        <stp/>
        <stp>T&amp;T0</stp>
        <stp>DAT</stp>
        <stp>31</stp>
        <tr r="H40" s="4"/>
      </tp>
      <tp t="s">
        <v>11:17:11</v>
        <stp/>
        <stp>T&amp;T0</stp>
        <stp>DAT</stp>
        <stp>30</stp>
        <tr r="H39" s="4"/>
      </tp>
      <tp t="s">
        <v>11:17:08</v>
        <stp/>
        <stp>T&amp;T0</stp>
        <stp>DAT</stp>
        <stp>33</stp>
        <tr r="H42" s="4"/>
      </tp>
      <tp t="s">
        <v>11:17:09</v>
        <stp/>
        <stp>T&amp;T0</stp>
        <stp>DAT</stp>
        <stp>32</stp>
        <tr r="H41" s="4"/>
      </tp>
      <tp t="s">
        <v>-</v>
        <stp/>
        <stp>T&amp;T0</stp>
        <stp>ACP</stp>
        <stp>54</stp>
        <tr r="I63" s="4"/>
      </tp>
      <tp t="s">
        <v>UBS</v>
        <stp/>
        <stp>T&amp;T0</stp>
        <stp>ACP</stp>
        <stp>53</stp>
        <tr r="I62" s="4"/>
      </tp>
      <tp t="s">
        <v>CM Capital</v>
        <stp/>
        <stp>T&amp;T0</stp>
        <stp>ACP</stp>
        <stp>52</stp>
        <tr r="I61" s="4"/>
      </tp>
      <tp t="s">
        <v>Goldman</v>
        <stp/>
        <stp>T&amp;T0</stp>
        <stp>ACP</stp>
        <stp>51</stp>
        <tr r="I60" s="4"/>
      </tp>
      <tp t="s">
        <v>UBS</v>
        <stp/>
        <stp>T&amp;T0</stp>
        <stp>ACP</stp>
        <stp>50</stp>
        <tr r="I59" s="4"/>
      </tp>
      <tp t="s">
        <v>-</v>
        <stp/>
        <stp>T&amp;T0</stp>
        <stp>AVD</stp>
        <stp>52</stp>
        <tr r="L61" s="4"/>
      </tp>
      <tp t="s">
        <v>-</v>
        <stp/>
        <stp>T&amp;T0</stp>
        <stp>AVD</stp>
        <stp>53</stp>
        <tr r="L62" s="4"/>
      </tp>
      <tp t="s">
        <v>-</v>
        <stp/>
        <stp>T&amp;T0</stp>
        <stp>AVD</stp>
        <stp>50</stp>
        <tr r="L59" s="4"/>
      </tp>
      <tp t="s">
        <v>-</v>
        <stp/>
        <stp>T&amp;T0</stp>
        <stp>AVD</stp>
        <stp>51</stp>
        <tr r="L60" s="4"/>
      </tp>
      <tp t="s">
        <v>BTG</v>
        <stp/>
        <stp>T&amp;T0</stp>
        <stp>AVD</stp>
        <stp>54</stp>
        <tr r="L63" s="4"/>
      </tp>
      <tp t="s">
        <v>11:17:28</v>
        <stp/>
        <stp>T&amp;T0</stp>
        <stp>DAT</stp>
        <stp>19</stp>
        <tr r="H28" s="4"/>
      </tp>
      <tp t="s">
        <v>11:17:28</v>
        <stp/>
        <stp>T&amp;T0</stp>
        <stp>DAT</stp>
        <stp>18</stp>
        <tr r="H27" s="4"/>
      </tp>
      <tp t="s">
        <v>XP</v>
        <stp/>
        <stp>T&amp;T0</stp>
        <stp>ACP</stp>
        <stp>49</stp>
        <tr r="I58" s="4"/>
      </tp>
      <tp t="s">
        <v>-</v>
        <stp/>
        <stp>T&amp;T0</stp>
        <stp>ACP</stp>
        <stp>48</stp>
        <tr r="I57" s="4"/>
      </tp>
      <tp t="s">
        <v>11:17:34</v>
        <stp/>
        <stp>T&amp;T0</stp>
        <stp>DAT</stp>
        <stp>15</stp>
        <tr r="H24" s="4"/>
      </tp>
      <tp t="s">
        <v>UBS</v>
        <stp/>
        <stp>T&amp;T0</stp>
        <stp>ACP</stp>
        <stp>47</stp>
        <tr r="I56" s="4"/>
      </tp>
      <tp t="s">
        <v>11:17:47</v>
        <stp/>
        <stp>T&amp;T0</stp>
        <stp>DAT</stp>
        <stp>14</stp>
        <tr r="H23" s="4"/>
      </tp>
      <tp t="s">
        <v>XP</v>
        <stp/>
        <stp>T&amp;T0</stp>
        <stp>ACP</stp>
        <stp>46</stp>
        <tr r="I55" s="4"/>
      </tp>
      <tp t="s">
        <v>11:17:29</v>
        <stp/>
        <stp>T&amp;T0</stp>
        <stp>DAT</stp>
        <stp>17</stp>
        <tr r="H26" s="4"/>
      </tp>
      <tp t="s">
        <v>-</v>
        <stp/>
        <stp>T&amp;T0</stp>
        <stp>ACP</stp>
        <stp>45</stp>
        <tr r="I54" s="4"/>
      </tp>
      <tp t="s">
        <v>11:17:29</v>
        <stp/>
        <stp>T&amp;T0</stp>
        <stp>DAT</stp>
        <stp>16</stp>
        <tr r="H25" s="4"/>
      </tp>
      <tp t="s">
        <v>-</v>
        <stp/>
        <stp>T&amp;T0</stp>
        <stp>ACP</stp>
        <stp>44</stp>
        <tr r="I53" s="4"/>
      </tp>
      <tp t="s">
        <v>11:17:55</v>
        <stp/>
        <stp>T&amp;T0</stp>
        <stp>DAT</stp>
        <stp>11</stp>
        <tr r="H20" s="4"/>
      </tp>
      <tp t="s">
        <v>-</v>
        <stp/>
        <stp>T&amp;T0</stp>
        <stp>ACP</stp>
        <stp>43</stp>
        <tr r="I52" s="4"/>
      </tp>
      <tp t="s">
        <v>11:17:56</v>
        <stp/>
        <stp>T&amp;T0</stp>
        <stp>DAT</stp>
        <stp>10</stp>
        <tr r="H19" s="4"/>
      </tp>
      <tp t="s">
        <v>-</v>
        <stp/>
        <stp>T&amp;T0</stp>
        <stp>ACP</stp>
        <stp>42</stp>
        <tr r="I51" s="4"/>
      </tp>
      <tp t="s">
        <v>11:17:47</v>
        <stp/>
        <stp>T&amp;T0</stp>
        <stp>DAT</stp>
        <stp>13</stp>
        <tr r="H22" s="4"/>
      </tp>
      <tp t="s">
        <v>-</v>
        <stp/>
        <stp>T&amp;T0</stp>
        <stp>ACP</stp>
        <stp>41</stp>
        <tr r="I50" s="4"/>
      </tp>
      <tp t="s">
        <v>11:17:54</v>
        <stp/>
        <stp>T&amp;T0</stp>
        <stp>DAT</stp>
        <stp>12</stp>
        <tr r="H21" s="4"/>
      </tp>
      <tp t="s">
        <v>Ideal</v>
        <stp/>
        <stp>T&amp;T0</stp>
        <stp>ACP</stp>
        <stp>40</stp>
        <tr r="I49" s="4"/>
      </tp>
      <tp t="s">
        <v>XP</v>
        <stp/>
        <stp>T&amp;T0</stp>
        <stp>AVD</stp>
        <stp>48</stp>
        <tr r="L57" s="4"/>
      </tp>
      <tp t="s">
        <v>-</v>
        <stp/>
        <stp>T&amp;T0</stp>
        <stp>AVD</stp>
        <stp>49</stp>
        <tr r="L58" s="4"/>
      </tp>
      <tp t="s">
        <v>Ideal</v>
        <stp/>
        <stp>T&amp;T0</stp>
        <stp>AVD</stp>
        <stp>42</stp>
        <tr r="L51" s="4"/>
      </tp>
      <tp t="s">
        <v>BTG</v>
        <stp/>
        <stp>T&amp;T0</stp>
        <stp>AVD</stp>
        <stp>43</stp>
        <tr r="L52" s="4"/>
      </tp>
      <tp t="s">
        <v>-</v>
        <stp/>
        <stp>T&amp;T0</stp>
        <stp>AVD</stp>
        <stp>40</stp>
        <tr r="L49" s="4"/>
      </tp>
      <tp t="s">
        <v>XP</v>
        <stp/>
        <stp>T&amp;T0</stp>
        <stp>AVD</stp>
        <stp>41</stp>
        <tr r="L50" s="4"/>
      </tp>
      <tp t="s">
        <v>-</v>
        <stp/>
        <stp>T&amp;T0</stp>
        <stp>AVD</stp>
        <stp>46</stp>
        <tr r="L55" s="4"/>
      </tp>
      <tp t="s">
        <v>-</v>
        <stp/>
        <stp>T&amp;T0</stp>
        <stp>AVD</stp>
        <stp>47</stp>
        <tr r="L56" s="4"/>
      </tp>
      <tp t="s">
        <v>Ideal</v>
        <stp/>
        <stp>T&amp;T0</stp>
        <stp>AVD</stp>
        <stp>44</stp>
        <tr r="L53" s="4"/>
      </tp>
      <tp t="s">
        <v>XP</v>
        <stp/>
        <stp>T&amp;T0</stp>
        <stp>AVD</stp>
        <stp>45</stp>
        <tr r="L54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B8"/>
  <sheetViews>
    <sheetView workbookViewId="0"/>
  </sheetViews>
  <sheetFormatPr defaultRowHeight="15" x14ac:dyDescent="0.25"/>
  <cols>
    <col min="1" max="1" width="8" customWidth="1"/>
    <col min="2" max="2" width="115" customWidth="1"/>
  </cols>
  <sheetData>
    <row r="1" spans="1:2" x14ac:dyDescent="0.25">
      <c r="A1" t="s">
        <v>0</v>
      </c>
    </row>
    <row r="2" spans="1:2" x14ac:dyDescent="0.25">
      <c r="A2" t="s">
        <v>1</v>
      </c>
      <c r="B2" t="s">
        <v>2</v>
      </c>
    </row>
    <row r="3" spans="1:2" x14ac:dyDescent="0.25">
      <c r="A3" t="s">
        <v>3</v>
      </c>
      <c r="B3" t="s">
        <v>4</v>
      </c>
    </row>
    <row r="4" spans="1:2" x14ac:dyDescent="0.25">
      <c r="A4" t="s">
        <v>5</v>
      </c>
      <c r="B4" t="s">
        <v>6</v>
      </c>
    </row>
    <row r="5" spans="1:2" x14ac:dyDescent="0.25">
      <c r="A5" t="s">
        <v>7</v>
      </c>
      <c r="B5" t="s">
        <v>8</v>
      </c>
    </row>
    <row r="6" spans="1:2" x14ac:dyDescent="0.25">
      <c r="A6" t="s">
        <v>9</v>
      </c>
      <c r="B6" t="s">
        <v>10</v>
      </c>
    </row>
    <row r="7" spans="1:2" x14ac:dyDescent="0.25">
      <c r="A7" t="s">
        <v>11</v>
      </c>
      <c r="B7" t="s">
        <v>12</v>
      </c>
    </row>
    <row r="8" spans="1:2" x14ac:dyDescent="0.25">
      <c r="A8" t="s">
        <v>13</v>
      </c>
      <c r="B8" t="s">
        <v>14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G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2" style="1" customWidth="1"/>
    <col min="2" max="2" width="20" customWidth="1"/>
    <col min="3" max="3" width="18" customWidth="1"/>
    <col min="4" max="6" width="16" customWidth="1"/>
    <col min="7" max="7" width="18" customWidth="1"/>
  </cols>
  <sheetData>
    <row r="1" spans="1:7" x14ac:dyDescent="0.25">
      <c r="A1" s="1" t="s">
        <v>37</v>
      </c>
      <c r="B1" t="s">
        <v>38</v>
      </c>
      <c r="C1" t="s">
        <v>39</v>
      </c>
      <c r="D1" t="s">
        <v>40</v>
      </c>
      <c r="E1" t="s">
        <v>41</v>
      </c>
      <c r="F1" t="s">
        <v>42</v>
      </c>
      <c r="G1" t="s">
        <v>43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L63"/>
  <sheetViews>
    <sheetView tabSelected="1" workbookViewId="0">
      <selection activeCell="A9" sqref="A9"/>
    </sheetView>
  </sheetViews>
  <sheetFormatPr defaultRowHeight="15" x14ac:dyDescent="0.25"/>
  <cols>
    <col min="1" max="1" width="24" customWidth="1"/>
    <col min="2" max="5" width="18" customWidth="1"/>
  </cols>
  <sheetData>
    <row r="1" spans="1:12" x14ac:dyDescent="0.25">
      <c r="A1" t="s">
        <v>44</v>
      </c>
    </row>
    <row r="2" spans="1:12" x14ac:dyDescent="0.25">
      <c r="A2" t="s">
        <v>45</v>
      </c>
      <c r="B2">
        <v>1</v>
      </c>
    </row>
    <row r="4" spans="1:12" x14ac:dyDescent="0.25">
      <c r="A4" t="s">
        <v>46</v>
      </c>
    </row>
    <row r="5" spans="1:12" x14ac:dyDescent="0.25">
      <c r="A5" t="s">
        <v>47</v>
      </c>
    </row>
    <row r="6" spans="1:12" x14ac:dyDescent="0.25">
      <c r="A6" t="s">
        <v>48</v>
      </c>
    </row>
    <row r="7" spans="1:12" x14ac:dyDescent="0.25">
      <c r="A7" t="s">
        <v>49</v>
      </c>
      <c r="H7" t="str">
        <f>RTD("rtdtrading.rtdserver",, "T&amp;T0", "INFO", "ATV")</f>
        <v>WINV26</v>
      </c>
      <c r="I7" t="str">
        <f>RTD("rtdtrading.rtdserver",, "T&amp;T0", "INFO", "TAB")</f>
        <v>Ordem Original</v>
      </c>
    </row>
    <row r="8" spans="1:12" x14ac:dyDescent="0.25">
      <c r="H8" t="s">
        <v>54</v>
      </c>
      <c r="I8" t="s">
        <v>55</v>
      </c>
      <c r="J8" t="s">
        <v>56</v>
      </c>
      <c r="K8" t="s">
        <v>57</v>
      </c>
      <c r="L8" t="s">
        <v>58</v>
      </c>
    </row>
    <row r="9" spans="1:12" x14ac:dyDescent="0.25">
      <c r="A9" t="s">
        <v>52</v>
      </c>
      <c r="B9" t="s">
        <v>40</v>
      </c>
      <c r="C9" t="s">
        <v>41</v>
      </c>
      <c r="D9" t="s">
        <v>42</v>
      </c>
      <c r="E9" t="s">
        <v>43</v>
      </c>
      <c r="H9" t="str">
        <f>RTD("rtdtrading.rtdserver",, "T&amp;T0", "DAT", 0)</f>
        <v>11:18:15</v>
      </c>
      <c r="I9" t="str">
        <f>RTD("rtdtrading.rtdserver",, "T&amp;T0", "ACP", 0)</f>
        <v>-</v>
      </c>
      <c r="J9">
        <f>RTD("rtdtrading.rtdserver",, "T&amp;T0", "PRE", 0)</f>
        <v>187120</v>
      </c>
      <c r="K9">
        <f>RTD("rtdtrading.rtdserver",, "T&amp;T0", "QUL", 0)</f>
        <v>87</v>
      </c>
      <c r="L9" t="str">
        <f>RTD("rtdtrading.rtdserver",, "T&amp;T0", "AVD", 0)</f>
        <v>XP</v>
      </c>
    </row>
    <row r="10" spans="1:12" x14ac:dyDescent="0.25">
      <c r="A10" t="s">
        <v>15</v>
      </c>
      <c r="B10">
        <f>RTD("rtdtrading.rtdserver",, "ABEV3_B_0", "ULT")</f>
        <v>15.63</v>
      </c>
      <c r="C10">
        <f>RTD("rtdtrading.rtdserver",, "ABEV3_B_0", "VAR")</f>
        <v>-0.6357279084551789</v>
      </c>
      <c r="D10">
        <f>RTD("rtdtrading.rtdserver",, "ABEV3_B_0", "NEG")</f>
        <v>3249</v>
      </c>
      <c r="E10">
        <f>RTD("rtdtrading.rtdserver",, "ABEV3_B_0", "VOL")</f>
        <v>79852242</v>
      </c>
      <c r="H10" t="str">
        <f>RTD("rtdtrading.rtdserver",, "T&amp;T0", "DAT", 1)</f>
        <v>11:18:15</v>
      </c>
      <c r="I10" t="str">
        <f>RTD("rtdtrading.rtdserver",, "T&amp;T0", "ACP", 1)</f>
        <v>Ideal</v>
      </c>
      <c r="J10">
        <f>RTD("rtdtrading.rtdserver",, "T&amp;T0", "PRE", 1)</f>
        <v>187130</v>
      </c>
      <c r="K10">
        <f>RTD("rtdtrading.rtdserver",, "T&amp;T0", "QUL", 1)</f>
        <v>86</v>
      </c>
      <c r="L10" t="str">
        <f>RTD("rtdtrading.rtdserver",, "T&amp;T0", "AVD", 1)</f>
        <v>-</v>
      </c>
    </row>
    <row r="11" spans="1:12" x14ac:dyDescent="0.25">
      <c r="A11" t="s">
        <v>50</v>
      </c>
      <c r="B11">
        <f>RTD("rtdtrading.rtdserver",, "AXIA3_B_0", "ULT")</f>
        <v>54.84</v>
      </c>
      <c r="C11">
        <f>RTD("rtdtrading.rtdserver",, "AXIA3_B_0", "VAR")</f>
        <v>-0.1820167455405923</v>
      </c>
      <c r="D11">
        <f>RTD("rtdtrading.rtdserver",, "AXIA3_B_0", "NEG")</f>
        <v>4470</v>
      </c>
      <c r="E11">
        <f>RTD("rtdtrading.rtdserver",, "AXIA3_B_0", "VOL")</f>
        <v>56242455</v>
      </c>
      <c r="H11" t="str">
        <f>RTD("rtdtrading.rtdserver",, "T&amp;T0", "DAT", 2)</f>
        <v>11:18:13</v>
      </c>
      <c r="I11" t="str">
        <f>RTD("rtdtrading.rtdserver",, "T&amp;T0", "ACP", 2)</f>
        <v>-</v>
      </c>
      <c r="J11">
        <f>RTD("rtdtrading.rtdserver",, "T&amp;T0", "PRE", 2)</f>
        <v>187140</v>
      </c>
      <c r="K11">
        <f>RTD("rtdtrading.rtdserver",, "T&amp;T0", "QUL", 2)</f>
        <v>78</v>
      </c>
      <c r="L11" t="str">
        <f>RTD("rtdtrading.rtdserver",, "T&amp;T0", "AVD", 2)</f>
        <v>Ideal</v>
      </c>
    </row>
    <row r="12" spans="1:12" x14ac:dyDescent="0.25">
      <c r="A12" t="s">
        <v>16</v>
      </c>
      <c r="B12">
        <f>RTD("rtdtrading.rtdserver",, "B3SA3_B_0", "ULT")</f>
        <v>17.440000000000001</v>
      </c>
      <c r="C12">
        <f>RTD("rtdtrading.rtdserver",, "B3SA3_B_0", "VAR")</f>
        <v>0.11481056257175414</v>
      </c>
      <c r="D12">
        <f>RTD("rtdtrading.rtdserver",, "B3SA3_B_0", "NEG")</f>
        <v>4939</v>
      </c>
      <c r="E12">
        <f>RTD("rtdtrading.rtdserver",, "B3SA3_B_0", "VOL")</f>
        <v>62195957</v>
      </c>
      <c r="H12" t="str">
        <f>RTD("rtdtrading.rtdserver",, "T&amp;T0", "DAT", 3)</f>
        <v>11:18:13</v>
      </c>
      <c r="I12" t="str">
        <f>RTD("rtdtrading.rtdserver",, "T&amp;T0", "ACP", 3)</f>
        <v>UBS</v>
      </c>
      <c r="J12">
        <f>RTD("rtdtrading.rtdserver",, "T&amp;T0", "PRE", 3)</f>
        <v>187145</v>
      </c>
      <c r="K12">
        <f>RTD("rtdtrading.rtdserver",, "T&amp;T0", "QUL", 3)</f>
        <v>105</v>
      </c>
      <c r="L12" t="str">
        <f>RTD("rtdtrading.rtdserver",, "T&amp;T0", "AVD", 3)</f>
        <v>-</v>
      </c>
    </row>
    <row r="13" spans="1:12" x14ac:dyDescent="0.25">
      <c r="A13" t="s">
        <v>17</v>
      </c>
      <c r="B13">
        <f>RTD("rtdtrading.rtdserver",, "BBAS3_B_0", "ULT")</f>
        <v>21.89</v>
      </c>
      <c r="C13">
        <f>RTD("rtdtrading.rtdserver",, "BBAS3_B_0", "VAR")</f>
        <v>-0.68058076225046338</v>
      </c>
      <c r="D13">
        <f>RTD("rtdtrading.rtdserver",, "BBAS3_B_0", "NEG")</f>
        <v>7252</v>
      </c>
      <c r="E13">
        <f>RTD("rtdtrading.rtdserver",, "BBAS3_B_0", "VOL")</f>
        <v>181063280</v>
      </c>
      <c r="H13" t="str">
        <f>RTD("rtdtrading.rtdserver",, "T&amp;T0", "DAT", 4)</f>
        <v>11:18:08</v>
      </c>
      <c r="I13" t="str">
        <f>RTD("rtdtrading.rtdserver",, "T&amp;T0", "ACP", 4)</f>
        <v>-</v>
      </c>
      <c r="J13">
        <f>RTD("rtdtrading.rtdserver",, "T&amp;T0", "PRE", 4)</f>
        <v>187120</v>
      </c>
      <c r="K13">
        <f>RTD("rtdtrading.rtdserver",, "T&amp;T0", "QUL", 4)</f>
        <v>97</v>
      </c>
      <c r="L13" t="str">
        <f>RTD("rtdtrading.rtdserver",, "T&amp;T0", "AVD", 4)</f>
        <v>Ideal</v>
      </c>
    </row>
    <row r="14" spans="1:12" x14ac:dyDescent="0.25">
      <c r="A14" t="s">
        <v>18</v>
      </c>
      <c r="B14">
        <f>RTD("rtdtrading.rtdserver",, "BBDC4_B_0", "ULT")</f>
        <v>18.09</v>
      </c>
      <c r="C14">
        <f>RTD("rtdtrading.rtdserver",, "BBDC4_B_0", "VAR")</f>
        <v>-0.60439560439560125</v>
      </c>
      <c r="D14">
        <f>RTD("rtdtrading.rtdserver",, "BBDC4_B_0", "NEG")</f>
        <v>4523</v>
      </c>
      <c r="E14">
        <f>RTD("rtdtrading.rtdserver",, "BBDC4_B_0", "VOL")</f>
        <v>74640455</v>
      </c>
      <c r="H14" t="str">
        <f>RTD("rtdtrading.rtdserver",, "T&amp;T0", "DAT", 5)</f>
        <v>11:18:05</v>
      </c>
      <c r="I14" t="str">
        <f>RTD("rtdtrading.rtdserver",, "T&amp;T0", "ACP", 5)</f>
        <v>XP</v>
      </c>
      <c r="J14">
        <f>RTD("rtdtrading.rtdserver",, "T&amp;T0", "PRE", 5)</f>
        <v>187160</v>
      </c>
      <c r="K14">
        <f>RTD("rtdtrading.rtdserver",, "T&amp;T0", "QUL", 5)</f>
        <v>187</v>
      </c>
      <c r="L14" t="str">
        <f>RTD("rtdtrading.rtdserver",, "T&amp;T0", "AVD", 5)</f>
        <v>-</v>
      </c>
    </row>
    <row r="15" spans="1:12" x14ac:dyDescent="0.25">
      <c r="A15" t="s">
        <v>19</v>
      </c>
      <c r="B15">
        <f>RTD("rtdtrading.rtdserver",, "BPAC11_B_0", "ULT")</f>
        <v>60.57</v>
      </c>
      <c r="C15">
        <f>RTD("rtdtrading.rtdserver",, "BPAC11_B_0", "VAR")</f>
        <v>0.61461794019933125</v>
      </c>
      <c r="D15">
        <f>RTD("rtdtrading.rtdserver",, "BPAC11_B_0", "NEG")</f>
        <v>5465</v>
      </c>
      <c r="E15">
        <f>RTD("rtdtrading.rtdserver",, "BPAC11_B_0", "VOL")</f>
        <v>142955031</v>
      </c>
      <c r="H15" t="str">
        <f>RTD("rtdtrading.rtdserver",, "T&amp;T0", "DAT", 6)</f>
        <v>11:18:03</v>
      </c>
      <c r="I15" t="str">
        <f>RTD("rtdtrading.rtdserver",, "T&amp;T0", "ACP", 6)</f>
        <v>-</v>
      </c>
      <c r="J15">
        <f>RTD("rtdtrading.rtdserver",, "T&amp;T0", "PRE", 6)</f>
        <v>187140</v>
      </c>
      <c r="K15">
        <f>RTD("rtdtrading.rtdserver",, "T&amp;T0", "QUL", 6)</f>
        <v>98</v>
      </c>
      <c r="L15" t="str">
        <f>RTD("rtdtrading.rtdserver",, "T&amp;T0", "AVD", 6)</f>
        <v>BTG</v>
      </c>
    </row>
    <row r="16" spans="1:12" x14ac:dyDescent="0.25">
      <c r="A16" t="s">
        <v>20</v>
      </c>
      <c r="B16">
        <f>RTD("rtdtrading.rtdserver",, "DI1F27_F_0", "ULT")</f>
        <v>13.574999999999999</v>
      </c>
      <c r="C16">
        <f>RTD("rtdtrading.rtdserver",, "DI1F27_F_0", "VAR")</f>
        <v>-3.6818851251859776E-2</v>
      </c>
      <c r="D16">
        <f>RTD("rtdtrading.rtdserver",, "DI1F27_F_0", "NEG")</f>
        <v>1266</v>
      </c>
      <c r="E16">
        <f>RTD("rtdtrading.rtdserver",, "DI1F27_F_0", "VOL")</f>
        <v>19911728854.529999</v>
      </c>
      <c r="H16" t="str">
        <f>RTD("rtdtrading.rtdserver",, "T&amp;T0", "DAT", 7)</f>
        <v>11:17:59</v>
      </c>
      <c r="I16" t="str">
        <f>RTD("rtdtrading.rtdserver",, "T&amp;T0", "ACP", 7)</f>
        <v>Ideal</v>
      </c>
      <c r="J16">
        <f>RTD("rtdtrading.rtdserver",, "T&amp;T0", "PRE", 7)</f>
        <v>187170</v>
      </c>
      <c r="K16">
        <f>RTD("rtdtrading.rtdserver",, "T&amp;T0", "QUL", 7)</f>
        <v>82</v>
      </c>
      <c r="L16" t="str">
        <f>RTD("rtdtrading.rtdserver",, "T&amp;T0", "AVD", 7)</f>
        <v>-</v>
      </c>
    </row>
    <row r="17" spans="1:12" x14ac:dyDescent="0.25">
      <c r="A17" t="s">
        <v>21</v>
      </c>
      <c r="B17">
        <f>RTD("rtdtrading.rtdserver",, "DI1F28_F_0", "ULT")</f>
        <v>13.62</v>
      </c>
      <c r="C17">
        <f>RTD("rtdtrading.rtdserver",, "DI1F28_F_0", "VAR")</f>
        <v>-0.36576444769570216</v>
      </c>
      <c r="D17">
        <f>RTD("rtdtrading.rtdserver",, "DI1F28_F_0", "NEG")</f>
        <v>4774</v>
      </c>
      <c r="E17">
        <f>RTD("rtdtrading.rtdserver",, "DI1F28_F_0", "VOL")</f>
        <v>10689638174.379999</v>
      </c>
      <c r="H17" t="str">
        <f>RTD("rtdtrading.rtdserver",, "T&amp;T0", "DAT", 8)</f>
        <v>11:17:59</v>
      </c>
      <c r="I17" t="str">
        <f>RTD("rtdtrading.rtdserver",, "T&amp;T0", "ACP", 8)</f>
        <v>Agora</v>
      </c>
      <c r="J17">
        <f>RTD("rtdtrading.rtdserver",, "T&amp;T0", "PRE", 8)</f>
        <v>187165</v>
      </c>
      <c r="K17">
        <f>RTD("rtdtrading.rtdserver",, "T&amp;T0", "QUL", 8)</f>
        <v>89</v>
      </c>
      <c r="L17" t="str">
        <f>RTD("rtdtrading.rtdserver",, "T&amp;T0", "AVD", 8)</f>
        <v>-</v>
      </c>
    </row>
    <row r="18" spans="1:12" x14ac:dyDescent="0.25">
      <c r="A18" t="s">
        <v>22</v>
      </c>
      <c r="B18">
        <f>RTD("rtdtrading.rtdserver",, "DI1F29_F_0", "ULT")</f>
        <v>13.845000000000001</v>
      </c>
      <c r="C18">
        <f>RTD("rtdtrading.rtdserver",, "DI1F29_F_0", "VAR")</f>
        <v>-0.68149210903874191</v>
      </c>
      <c r="D18">
        <f>RTD("rtdtrading.rtdserver",, "DI1F29_F_0", "NEG")</f>
        <v>9085</v>
      </c>
      <c r="E18">
        <f>RTD("rtdtrading.rtdserver",, "DI1F29_F_0", "VOL")</f>
        <v>9854970463.8999996</v>
      </c>
      <c r="H18" t="str">
        <f>RTD("rtdtrading.rtdserver",, "T&amp;T0", "DAT", 9)</f>
        <v>11:17:59</v>
      </c>
      <c r="I18" t="str">
        <f>RTD("rtdtrading.rtdserver",, "T&amp;T0", "ACP", 9)</f>
        <v>-</v>
      </c>
      <c r="J18">
        <f>RTD("rtdtrading.rtdserver",, "T&amp;T0", "PRE", 9)</f>
        <v>187160</v>
      </c>
      <c r="K18">
        <f>RTD("rtdtrading.rtdserver",, "T&amp;T0", "QUL", 9)</f>
        <v>90</v>
      </c>
      <c r="L18" t="str">
        <f>RTD("rtdtrading.rtdserver",, "T&amp;T0", "AVD", 9)</f>
        <v>BTG</v>
      </c>
    </row>
    <row r="19" spans="1:12" x14ac:dyDescent="0.25">
      <c r="A19" t="s">
        <v>23</v>
      </c>
      <c r="B19">
        <f>RTD("rtdtrading.rtdserver",, "DI1F30_F_0", "ULT")</f>
        <v>14.005000000000001</v>
      </c>
      <c r="C19">
        <f>RTD("rtdtrading.rtdserver",, "DI1F30_F_0", "VAR")</f>
        <v>-0.95473833097595318</v>
      </c>
      <c r="D19">
        <f>RTD("rtdtrading.rtdserver",, "DI1F30_F_0", "NEG")</f>
        <v>3879</v>
      </c>
      <c r="E19">
        <f>RTD("rtdtrading.rtdserver",, "DI1F30_F_0", "VOL")</f>
        <v>1740208019.97</v>
      </c>
      <c r="H19" t="str">
        <f>RTD("rtdtrading.rtdserver",, "T&amp;T0", "DAT", 10)</f>
        <v>11:17:56</v>
      </c>
      <c r="I19" t="str">
        <f>RTD("rtdtrading.rtdserver",, "T&amp;T0", "ACP", 10)</f>
        <v>XP</v>
      </c>
      <c r="J19">
        <f>RTD("rtdtrading.rtdserver",, "T&amp;T0", "PRE", 10)</f>
        <v>187175</v>
      </c>
      <c r="K19">
        <f>RTD("rtdtrading.rtdserver",, "T&amp;T0", "QUL", 10)</f>
        <v>207</v>
      </c>
      <c r="L19" t="str">
        <f>RTD("rtdtrading.rtdserver",, "T&amp;T0", "AVD", 10)</f>
        <v>-</v>
      </c>
    </row>
    <row r="20" spans="1:12" x14ac:dyDescent="0.25">
      <c r="A20" t="s">
        <v>24</v>
      </c>
      <c r="B20">
        <f>RTD("rtdtrading.rtdserver",, "DI1F31_F_0", "ULT")</f>
        <v>14.08</v>
      </c>
      <c r="C20">
        <f>RTD("rtdtrading.rtdserver",, "DI1F31_F_0", "VAR")</f>
        <v>-1.0541110330288148</v>
      </c>
      <c r="D20">
        <f>RTD("rtdtrading.rtdserver",, "DI1F31_F_0", "NEG")</f>
        <v>7487</v>
      </c>
      <c r="E20">
        <f>RTD("rtdtrading.rtdserver",, "DI1F31_F_0", "VOL")</f>
        <v>4549280341.4700003</v>
      </c>
      <c r="H20" t="str">
        <f>RTD("rtdtrading.rtdserver",, "T&amp;T0", "DAT", 11)</f>
        <v>11:17:55</v>
      </c>
      <c r="I20" t="str">
        <f>RTD("rtdtrading.rtdserver",, "T&amp;T0", "ACP", 11)</f>
        <v>XP</v>
      </c>
      <c r="J20">
        <f>RTD("rtdtrading.rtdserver",, "T&amp;T0", "PRE", 11)</f>
        <v>187180</v>
      </c>
      <c r="K20">
        <f>RTD("rtdtrading.rtdserver",, "T&amp;T0", "QUL", 11)</f>
        <v>87</v>
      </c>
      <c r="L20" t="str">
        <f>RTD("rtdtrading.rtdserver",, "T&amp;T0", "AVD", 11)</f>
        <v>-</v>
      </c>
    </row>
    <row r="21" spans="1:12" x14ac:dyDescent="0.25">
      <c r="A21" t="s">
        <v>25</v>
      </c>
      <c r="B21">
        <f>RTD("rtdtrading.rtdserver",, "DI1F33_F_0", "ULT")</f>
        <v>14.215</v>
      </c>
      <c r="C21">
        <f>RTD("rtdtrading.rtdserver",, "DI1F33_F_0", "VAR")</f>
        <v>-1.0786360473208152</v>
      </c>
      <c r="D21">
        <f>RTD("rtdtrading.rtdserver",, "DI1F33_F_0", "NEG")</f>
        <v>2502</v>
      </c>
      <c r="E21">
        <f>RTD("rtdtrading.rtdserver",, "DI1F33_F_0", "VOL")</f>
        <v>739464083.86000001</v>
      </c>
      <c r="H21" t="str">
        <f>RTD("rtdtrading.rtdserver",, "T&amp;T0", "DAT", 12)</f>
        <v>11:17:54</v>
      </c>
      <c r="I21" t="str">
        <f>RTD("rtdtrading.rtdserver",, "T&amp;T0", "ACP", 12)</f>
        <v>Safra</v>
      </c>
      <c r="J21">
        <f>RTD("rtdtrading.rtdserver",, "T&amp;T0", "PRE", 12)</f>
        <v>187175</v>
      </c>
      <c r="K21">
        <f>RTD("rtdtrading.rtdserver",, "T&amp;T0", "QUL", 12)</f>
        <v>500</v>
      </c>
      <c r="L21" t="str">
        <f>RTD("rtdtrading.rtdserver",, "T&amp;T0", "AVD", 12)</f>
        <v>-</v>
      </c>
    </row>
    <row r="22" spans="1:12" x14ac:dyDescent="0.25">
      <c r="A22" t="s">
        <v>51</v>
      </c>
      <c r="B22">
        <f>RTD("rtdtrading.rtdserver",, "DI1F34_F_0", "ULT")</f>
        <v>14.244999999999999</v>
      </c>
      <c r="C22">
        <f>RTD("rtdtrading.rtdserver",, "DI1F34_F_0", "VAR")</f>
        <v>-0.97323600973237623</v>
      </c>
      <c r="D22">
        <f>RTD("rtdtrading.rtdserver",, "DI1F34_F_0", "NEG")</f>
        <v>75</v>
      </c>
      <c r="E22">
        <f>RTD("rtdtrading.rtdserver",, "DI1F34_F_0", "VOL")</f>
        <v>17255424.850000001</v>
      </c>
      <c r="H22" t="str">
        <f>RTD("rtdtrading.rtdserver",, "T&amp;T0", "DAT", 13)</f>
        <v>11:17:47</v>
      </c>
      <c r="I22" t="str">
        <f>RTD("rtdtrading.rtdserver",, "T&amp;T0", "ACP", 13)</f>
        <v>Ideal</v>
      </c>
      <c r="J22">
        <f>RTD("rtdtrading.rtdserver",, "T&amp;T0", "PRE", 13)</f>
        <v>187160</v>
      </c>
      <c r="K22">
        <f>RTD("rtdtrading.rtdserver",, "T&amp;T0", "QUL", 13)</f>
        <v>95</v>
      </c>
      <c r="L22" t="str">
        <f>RTD("rtdtrading.rtdserver",, "T&amp;T0", "AVD", 13)</f>
        <v>-</v>
      </c>
    </row>
    <row r="23" spans="1:12" x14ac:dyDescent="0.25">
      <c r="A23" t="s">
        <v>26</v>
      </c>
      <c r="B23">
        <f>RTD("rtdtrading.rtdserver",, "DI1F35_F_0", "ULT")</f>
        <v>14.234999999999999</v>
      </c>
      <c r="C23">
        <f>RTD("rtdtrading.rtdserver",, "DI1F35_F_0", "VAR")</f>
        <v>-1.0771369006254421</v>
      </c>
      <c r="D23">
        <f>RTD("rtdtrading.rtdserver",, "DI1F35_F_0", "NEG")</f>
        <v>2347</v>
      </c>
      <c r="E23">
        <f>RTD("rtdtrading.rtdserver",, "DI1F35_F_0", "VOL")</f>
        <v>331428251.87</v>
      </c>
      <c r="H23" t="str">
        <f>RTD("rtdtrading.rtdserver",, "T&amp;T0", "DAT", 14)</f>
        <v>11:17:47</v>
      </c>
      <c r="I23" t="str">
        <f>RTD("rtdtrading.rtdserver",, "T&amp;T0", "ACP", 14)</f>
        <v>Ideal</v>
      </c>
      <c r="J23">
        <f>RTD("rtdtrading.rtdserver",, "T&amp;T0", "PRE", 14)</f>
        <v>187145</v>
      </c>
      <c r="K23">
        <f>RTD("rtdtrading.rtdserver",, "T&amp;T0", "QUL", 14)</f>
        <v>79</v>
      </c>
      <c r="L23" t="str">
        <f>RTD("rtdtrading.rtdserver",, "T&amp;T0", "AVD", 14)</f>
        <v>-</v>
      </c>
    </row>
    <row r="24" spans="1:12" x14ac:dyDescent="0.25">
      <c r="A24" t="s">
        <v>27</v>
      </c>
      <c r="B24">
        <f>RTD("rtdtrading.rtdserver",, "DI1F36_F_0", "ULT")</f>
        <v>14.22</v>
      </c>
      <c r="C24">
        <f>RTD("rtdtrading.rtdserver",, "DI1F36_F_0", "VAR")</f>
        <v>-1.0782608695652252</v>
      </c>
      <c r="D24">
        <f>RTD("rtdtrading.rtdserver",, "DI1F36_F_0", "NEG")</f>
        <v>55</v>
      </c>
      <c r="E24">
        <f>RTD("rtdtrading.rtdserver",, "DI1F36_F_0", "VOL")</f>
        <v>3096605.4</v>
      </c>
      <c r="H24" t="str">
        <f>RTD("rtdtrading.rtdserver",, "T&amp;T0", "DAT", 15)</f>
        <v>11:17:34</v>
      </c>
      <c r="I24" t="str">
        <f>RTD("rtdtrading.rtdserver",, "T&amp;T0", "ACP", 15)</f>
        <v>CM Capital</v>
      </c>
      <c r="J24">
        <f>RTD("rtdtrading.rtdserver",, "T&amp;T0", "PRE", 15)</f>
        <v>187140</v>
      </c>
      <c r="K24">
        <f>RTD("rtdtrading.rtdserver",, "T&amp;T0", "QUL", 15)</f>
        <v>90</v>
      </c>
      <c r="L24" t="str">
        <f>RTD("rtdtrading.rtdserver",, "T&amp;T0", "AVD", 15)</f>
        <v>-</v>
      </c>
    </row>
    <row r="25" spans="1:12" x14ac:dyDescent="0.25">
      <c r="A25" t="s">
        <v>28</v>
      </c>
      <c r="B25">
        <f>RTD("rtdtrading.rtdserver",, "ITSA4_B_0", "ULT")</f>
        <v>14.06</v>
      </c>
      <c r="C25">
        <f>RTD("rtdtrading.rtdserver",, "ITSA4_B_0", "VAR")</f>
        <v>-0.70621468926553421</v>
      </c>
      <c r="D25">
        <f>RTD("rtdtrading.rtdserver",, "ITSA4_B_0", "NEG")</f>
        <v>2770</v>
      </c>
      <c r="E25">
        <f>RTD("rtdtrading.rtdserver",, "ITSA4_B_0", "VOL")</f>
        <v>43552978</v>
      </c>
      <c r="H25" t="str">
        <f>RTD("rtdtrading.rtdserver",, "T&amp;T0", "DAT", 16)</f>
        <v>11:17:29</v>
      </c>
      <c r="I25" t="str">
        <f>RTD("rtdtrading.rtdserver",, "T&amp;T0", "ACP", 16)</f>
        <v>Ideal</v>
      </c>
      <c r="J25">
        <f>RTD("rtdtrading.rtdserver",, "T&amp;T0", "PRE", 16)</f>
        <v>187125</v>
      </c>
      <c r="K25">
        <f>RTD("rtdtrading.rtdserver",, "T&amp;T0", "QUL", 16)</f>
        <v>99</v>
      </c>
      <c r="L25" t="str">
        <f>RTD("rtdtrading.rtdserver",, "T&amp;T0", "AVD", 16)</f>
        <v>-</v>
      </c>
    </row>
    <row r="26" spans="1:12" x14ac:dyDescent="0.25">
      <c r="A26" t="s">
        <v>29</v>
      </c>
      <c r="B26">
        <f>RTD("rtdtrading.rtdserver",, "ITUB4_B_0", "ULT")</f>
        <v>42.23</v>
      </c>
      <c r="C26">
        <f>RTD("rtdtrading.rtdserver",, "ITUB4_B_0", "VAR")</f>
        <v>-1.03116943988752</v>
      </c>
      <c r="D26">
        <f>RTD("rtdtrading.rtdserver",, "ITUB4_B_0", "NEG")</f>
        <v>3994</v>
      </c>
      <c r="E26">
        <f>RTD("rtdtrading.rtdserver",, "ITUB4_B_0", "VOL")</f>
        <v>138847793</v>
      </c>
      <c r="H26" t="str">
        <f>RTD("rtdtrading.rtdserver",, "T&amp;T0", "DAT", 17)</f>
        <v>11:17:29</v>
      </c>
      <c r="I26" t="str">
        <f>RTD("rtdtrading.rtdserver",, "T&amp;T0", "ACP", 17)</f>
        <v>UBS</v>
      </c>
      <c r="J26">
        <f>RTD("rtdtrading.rtdserver",, "T&amp;T0", "PRE", 17)</f>
        <v>187120</v>
      </c>
      <c r="K26">
        <f>RTD("rtdtrading.rtdserver",, "T&amp;T0", "QUL", 17)</f>
        <v>154</v>
      </c>
      <c r="L26" t="str">
        <f>RTD("rtdtrading.rtdserver",, "T&amp;T0", "AVD", 17)</f>
        <v>-</v>
      </c>
    </row>
    <row r="27" spans="1:12" x14ac:dyDescent="0.25">
      <c r="A27" t="s">
        <v>30</v>
      </c>
      <c r="B27">
        <f>RTD("rtdtrading.rtdserver",, "PETR4_B_0", "ULT")</f>
        <v>49.37</v>
      </c>
      <c r="C27">
        <f>RTD("rtdtrading.rtdserver",, "PETR4_B_0", "VAR")</f>
        <v>-2.1019234582589772</v>
      </c>
      <c r="D27">
        <f>RTD("rtdtrading.rtdserver",, "PETR4_B_0", "NEG")</f>
        <v>13361</v>
      </c>
      <c r="E27">
        <f>RTD("rtdtrading.rtdserver",, "PETR4_B_0", "VOL")</f>
        <v>370202275</v>
      </c>
      <c r="H27" t="str">
        <f>RTD("rtdtrading.rtdserver",, "T&amp;T0", "DAT", 18)</f>
        <v>11:17:28</v>
      </c>
      <c r="I27" t="str">
        <f>RTD("rtdtrading.rtdserver",, "T&amp;T0", "ACP", 18)</f>
        <v>Ideal</v>
      </c>
      <c r="J27">
        <f>RTD("rtdtrading.rtdserver",, "T&amp;T0", "PRE", 18)</f>
        <v>187130</v>
      </c>
      <c r="K27">
        <f>RTD("rtdtrading.rtdserver",, "T&amp;T0", "QUL", 18)</f>
        <v>88</v>
      </c>
      <c r="L27" t="str">
        <f>RTD("rtdtrading.rtdserver",, "T&amp;T0", "AVD", 18)</f>
        <v>-</v>
      </c>
    </row>
    <row r="28" spans="1:12" x14ac:dyDescent="0.25">
      <c r="A28" t="s">
        <v>31</v>
      </c>
      <c r="B28">
        <f>RTD("rtdtrading.rtdserver",, "PRIO3_B_0", "ULT")</f>
        <v>63.5</v>
      </c>
      <c r="C28">
        <f>RTD("rtdtrading.rtdserver",, "PRIO3_B_0", "VAR")</f>
        <v>-3.3191230207064661</v>
      </c>
      <c r="D28">
        <f>RTD("rtdtrading.rtdserver",, "PRIO3_B_0", "NEG")</f>
        <v>4379</v>
      </c>
      <c r="E28">
        <f>RTD("rtdtrading.rtdserver",, "PRIO3_B_0", "VOL")</f>
        <v>107151254</v>
      </c>
      <c r="H28" t="str">
        <f>RTD("rtdtrading.rtdserver",, "T&amp;T0", "DAT", 19)</f>
        <v>11:17:28</v>
      </c>
      <c r="I28" t="str">
        <f>RTD("rtdtrading.rtdserver",, "T&amp;T0", "ACP", 19)</f>
        <v>-</v>
      </c>
      <c r="J28">
        <f>RTD("rtdtrading.rtdserver",, "T&amp;T0", "PRE", 19)</f>
        <v>187120</v>
      </c>
      <c r="K28">
        <f>RTD("rtdtrading.rtdserver",, "T&amp;T0", "QUL", 19)</f>
        <v>287</v>
      </c>
      <c r="L28" t="str">
        <f>RTD("rtdtrading.rtdserver",, "T&amp;T0", "AVD", 19)</f>
        <v>BTG</v>
      </c>
    </row>
    <row r="29" spans="1:12" x14ac:dyDescent="0.25">
      <c r="A29" t="s">
        <v>32</v>
      </c>
      <c r="B29">
        <f>RTD("rtdtrading.rtdserver",, "RAIL3_B_0", "ULT")</f>
        <v>14.72</v>
      </c>
      <c r="C29">
        <f>RTD("rtdtrading.rtdserver",, "RAIL3_B_0", "VAR")</f>
        <v>0.13605442176870458</v>
      </c>
      <c r="D29">
        <f>RTD("rtdtrading.rtdserver",, "RAIL3_B_0", "NEG")</f>
        <v>2514</v>
      </c>
      <c r="E29">
        <f>RTD("rtdtrading.rtdserver",, "RAIL3_B_0", "VOL")</f>
        <v>16029567</v>
      </c>
      <c r="H29" t="str">
        <f>RTD("rtdtrading.rtdserver",, "T&amp;T0", "DAT", 20)</f>
        <v>11:17:20</v>
      </c>
      <c r="I29" t="str">
        <f>RTD("rtdtrading.rtdserver",, "T&amp;T0", "ACP", 20)</f>
        <v>-</v>
      </c>
      <c r="J29">
        <f>RTD("rtdtrading.rtdserver",, "T&amp;T0", "PRE", 20)</f>
        <v>187130</v>
      </c>
      <c r="K29">
        <f>RTD("rtdtrading.rtdserver",, "T&amp;T0", "QUL", 20)</f>
        <v>83</v>
      </c>
      <c r="L29" t="str">
        <f>RTD("rtdtrading.rtdserver",, "T&amp;T0", "AVD", 20)</f>
        <v>XP</v>
      </c>
    </row>
    <row r="30" spans="1:12" x14ac:dyDescent="0.25">
      <c r="A30" t="s">
        <v>33</v>
      </c>
      <c r="B30">
        <f>RTD("rtdtrading.rtdserver",, "RENT3_B_0", "ULT")</f>
        <v>35.86</v>
      </c>
      <c r="C30">
        <f>RTD("rtdtrading.rtdserver",, "RENT3_B_0", "VAR")</f>
        <v>0.50448430493273466</v>
      </c>
      <c r="D30">
        <f>RTD("rtdtrading.rtdserver",, "RENT3_B_0", "NEG")</f>
        <v>3276</v>
      </c>
      <c r="E30">
        <f>RTD("rtdtrading.rtdserver",, "RENT3_B_0", "VOL")</f>
        <v>24895216</v>
      </c>
      <c r="H30" t="str">
        <f>RTD("rtdtrading.rtdserver",, "T&amp;T0", "DAT", 21)</f>
        <v>11:17:20</v>
      </c>
      <c r="I30" t="str">
        <f>RTD("rtdtrading.rtdserver",, "T&amp;T0", "ACP", 21)</f>
        <v>-</v>
      </c>
      <c r="J30">
        <f>RTD("rtdtrading.rtdserver",, "T&amp;T0", "PRE", 21)</f>
        <v>187135</v>
      </c>
      <c r="K30">
        <f>RTD("rtdtrading.rtdserver",, "T&amp;T0", "QUL", 21)</f>
        <v>132</v>
      </c>
      <c r="L30" t="str">
        <f>RTD("rtdtrading.rtdserver",, "T&amp;T0", "AVD", 21)</f>
        <v>Ideal</v>
      </c>
    </row>
    <row r="31" spans="1:12" x14ac:dyDescent="0.25">
      <c r="A31" t="s">
        <v>34</v>
      </c>
      <c r="B31">
        <f>RTD("rtdtrading.rtdserver",, "SUZB3_B_0", "ULT")</f>
        <v>47.54</v>
      </c>
      <c r="C31">
        <f>RTD("rtdtrading.rtdserver",, "SUZB3_B_0", "VAR")</f>
        <v>-4.20521446593842E-2</v>
      </c>
      <c r="D31">
        <f>RTD("rtdtrading.rtdserver",, "SUZB3_B_0", "NEG")</f>
        <v>1731</v>
      </c>
      <c r="E31">
        <f>RTD("rtdtrading.rtdserver",, "SUZB3_B_0", "VOL")</f>
        <v>16690905</v>
      </c>
      <c r="H31" t="str">
        <f>RTD("rtdtrading.rtdserver",, "T&amp;T0", "DAT", 22)</f>
        <v>11:17:20</v>
      </c>
      <c r="I31" t="str">
        <f>RTD("rtdtrading.rtdserver",, "T&amp;T0", "ACP", 22)</f>
        <v>-</v>
      </c>
      <c r="J31">
        <f>RTD("rtdtrading.rtdserver",, "T&amp;T0", "PRE", 22)</f>
        <v>187145</v>
      </c>
      <c r="K31">
        <f>RTD("rtdtrading.rtdserver",, "T&amp;T0", "QUL", 22)</f>
        <v>126</v>
      </c>
      <c r="L31" t="str">
        <f>RTD("rtdtrading.rtdserver",, "T&amp;T0", "AVD", 22)</f>
        <v>XP</v>
      </c>
    </row>
    <row r="32" spans="1:12" x14ac:dyDescent="0.25">
      <c r="A32" t="s">
        <v>35</v>
      </c>
      <c r="B32">
        <f>RTD("rtdtrading.rtdserver",, "VALE3_B_0", "ULT")</f>
        <v>74.03</v>
      </c>
      <c r="C32">
        <f>RTD("rtdtrading.rtdserver",, "VALE3_B_0", "VAR")</f>
        <v>-0.76407506702413852</v>
      </c>
      <c r="D32">
        <f>RTD("rtdtrading.rtdserver",, "VALE3_B_0", "NEG")</f>
        <v>11602</v>
      </c>
      <c r="E32">
        <f>RTD("rtdtrading.rtdserver",, "VALE3_B_0", "VOL")</f>
        <v>673911964</v>
      </c>
      <c r="H32" t="str">
        <f>RTD("rtdtrading.rtdserver",, "T&amp;T0", "DAT", 23)</f>
        <v>11:17:16</v>
      </c>
      <c r="I32" t="str">
        <f>RTD("rtdtrading.rtdserver",, "T&amp;T0", "ACP", 23)</f>
        <v>-</v>
      </c>
      <c r="J32">
        <f>RTD("rtdtrading.rtdserver",, "T&amp;T0", "PRE", 23)</f>
        <v>187150</v>
      </c>
      <c r="K32">
        <f>RTD("rtdtrading.rtdserver",, "T&amp;T0", "QUL", 23)</f>
        <v>500</v>
      </c>
      <c r="L32" t="str">
        <f>RTD("rtdtrading.rtdserver",, "T&amp;T0", "AVD", 23)</f>
        <v>Elliot-Warren</v>
      </c>
    </row>
    <row r="33" spans="1:12" x14ac:dyDescent="0.25">
      <c r="A33" t="s">
        <v>53</v>
      </c>
      <c r="B33">
        <f>RTD("rtdtrading.rtdserver",, "WDOFUT_F_0", "ULT")</f>
        <v>5173.5</v>
      </c>
      <c r="C33">
        <f>RTD("rtdtrading.rtdserver",, "WDOFUT_F_0", "VAR")</f>
        <v>4.834654805646877E-2</v>
      </c>
      <c r="D33">
        <f>RTD("rtdtrading.rtdserver",, "WDOFUT_F_0", "NEG")</f>
        <v>164522</v>
      </c>
      <c r="E33">
        <f>RTD("rtdtrading.rtdserver",, "WDOFUT_F_0", "VOL")</f>
        <v>36281330900</v>
      </c>
      <c r="H33" t="str">
        <f>RTD("rtdtrading.rtdserver",, "T&amp;T0", "DAT", 24)</f>
        <v>11:17:15</v>
      </c>
      <c r="I33" t="str">
        <f>RTD("rtdtrading.rtdserver",, "T&amp;T0", "ACP", 24)</f>
        <v>-</v>
      </c>
      <c r="J33">
        <f>RTD("rtdtrading.rtdserver",, "T&amp;T0", "PRE", 24)</f>
        <v>187160</v>
      </c>
      <c r="K33">
        <f>RTD("rtdtrading.rtdserver",, "T&amp;T0", "QUL", 24)</f>
        <v>99</v>
      </c>
      <c r="L33" t="str">
        <f>RTD("rtdtrading.rtdserver",, "T&amp;T0", "AVD", 24)</f>
        <v>UBS</v>
      </c>
    </row>
    <row r="34" spans="1:12" x14ac:dyDescent="0.25">
      <c r="A34" t="s">
        <v>36</v>
      </c>
      <c r="B34">
        <f>RTD("rtdtrading.rtdserver",, "WEGE3_B_0", "ULT")</f>
        <v>51.25</v>
      </c>
      <c r="C34">
        <f>RTD("rtdtrading.rtdserver",, "WEGE3_B_0", "VAR")</f>
        <v>0.72720125786163015</v>
      </c>
      <c r="D34">
        <f>RTD("rtdtrading.rtdserver",, "WEGE3_B_0", "NEG")</f>
        <v>3337</v>
      </c>
      <c r="E34">
        <f>RTD("rtdtrading.rtdserver",, "WEGE3_B_0", "VOL")</f>
        <v>44686202</v>
      </c>
      <c r="H34" t="str">
        <f>RTD("rtdtrading.rtdserver",, "T&amp;T0", "DAT", 25)</f>
        <v>11:17:14</v>
      </c>
      <c r="I34" t="str">
        <f>RTD("rtdtrading.rtdserver",, "T&amp;T0", "ACP", 25)</f>
        <v>XP</v>
      </c>
      <c r="J34">
        <f>RTD("rtdtrading.rtdserver",, "T&amp;T0", "PRE", 25)</f>
        <v>187170</v>
      </c>
      <c r="K34">
        <f>RTD("rtdtrading.rtdserver",, "T&amp;T0", "QUL", 25)</f>
        <v>87</v>
      </c>
      <c r="L34" t="str">
        <f>RTD("rtdtrading.rtdserver",, "T&amp;T0", "AVD", 25)</f>
        <v>-</v>
      </c>
    </row>
    <row r="35" spans="1:12" x14ac:dyDescent="0.25">
      <c r="H35" t="str">
        <f>RTD("rtdtrading.rtdserver",, "T&amp;T0", "DAT", 26)</f>
        <v>11:17:12</v>
      </c>
      <c r="I35" t="str">
        <f>RTD("rtdtrading.rtdserver",, "T&amp;T0", "ACP", 26)</f>
        <v>XP</v>
      </c>
      <c r="J35">
        <f>RTD("rtdtrading.rtdserver",, "T&amp;T0", "PRE", 26)</f>
        <v>187165</v>
      </c>
      <c r="K35">
        <f>RTD("rtdtrading.rtdserver",, "T&amp;T0", "QUL", 26)</f>
        <v>137</v>
      </c>
      <c r="L35" t="str">
        <f>RTD("rtdtrading.rtdserver",, "T&amp;T0", "AVD", 26)</f>
        <v>-</v>
      </c>
    </row>
    <row r="36" spans="1:12" x14ac:dyDescent="0.25">
      <c r="H36" t="str">
        <f>RTD("rtdtrading.rtdserver",, "T&amp;T0", "DAT", 27)</f>
        <v>11:17:12</v>
      </c>
      <c r="I36" t="str">
        <f>RTD("rtdtrading.rtdserver",, "T&amp;T0", "ACP", 27)</f>
        <v>Ideal</v>
      </c>
      <c r="J36">
        <f>RTD("rtdtrading.rtdserver",, "T&amp;T0", "PRE", 27)</f>
        <v>187165</v>
      </c>
      <c r="K36">
        <f>RTD("rtdtrading.rtdserver",, "T&amp;T0", "QUL", 27)</f>
        <v>79</v>
      </c>
      <c r="L36" t="str">
        <f>RTD("rtdtrading.rtdserver",, "T&amp;T0", "AVD", 27)</f>
        <v>-</v>
      </c>
    </row>
    <row r="37" spans="1:12" x14ac:dyDescent="0.25">
      <c r="H37" t="str">
        <f>RTD("rtdtrading.rtdserver",, "T&amp;T0", "DAT", 28)</f>
        <v>11:17:12</v>
      </c>
      <c r="I37" t="str">
        <f>RTD("rtdtrading.rtdserver",, "T&amp;T0", "ACP", 28)</f>
        <v>XP</v>
      </c>
      <c r="J37">
        <f>RTD("rtdtrading.rtdserver",, "T&amp;T0", "PRE", 28)</f>
        <v>187150</v>
      </c>
      <c r="K37">
        <f>RTD("rtdtrading.rtdserver",, "T&amp;T0", "QUL", 28)</f>
        <v>144</v>
      </c>
      <c r="L37" t="str">
        <f>RTD("rtdtrading.rtdserver",, "T&amp;T0", "AVD", 28)</f>
        <v>-</v>
      </c>
    </row>
    <row r="38" spans="1:12" x14ac:dyDescent="0.25">
      <c r="H38" t="str">
        <f>RTD("rtdtrading.rtdserver",, "T&amp;T0", "DAT", 29)</f>
        <v>11:17:11</v>
      </c>
      <c r="I38" t="str">
        <f>RTD("rtdtrading.rtdserver",, "T&amp;T0", "ACP", 29)</f>
        <v>Ideal</v>
      </c>
      <c r="J38">
        <f>RTD("rtdtrading.rtdserver",, "T&amp;T0", "PRE", 29)</f>
        <v>187125</v>
      </c>
      <c r="K38">
        <f>RTD("rtdtrading.rtdserver",, "T&amp;T0", "QUL", 29)</f>
        <v>79</v>
      </c>
      <c r="L38" t="str">
        <f>RTD("rtdtrading.rtdserver",, "T&amp;T0", "AVD", 29)</f>
        <v>-</v>
      </c>
    </row>
    <row r="39" spans="1:12" x14ac:dyDescent="0.25">
      <c r="H39" t="str">
        <f>RTD("rtdtrading.rtdserver",, "T&amp;T0", "DAT", 30)</f>
        <v>11:17:11</v>
      </c>
      <c r="I39" t="str">
        <f>RTD("rtdtrading.rtdserver",, "T&amp;T0", "ACP", 30)</f>
        <v>Ideal</v>
      </c>
      <c r="J39">
        <f>RTD("rtdtrading.rtdserver",, "T&amp;T0", "PRE", 30)</f>
        <v>187120</v>
      </c>
      <c r="K39">
        <f>RTD("rtdtrading.rtdserver",, "T&amp;T0", "QUL", 30)</f>
        <v>86</v>
      </c>
      <c r="L39" t="str">
        <f>RTD("rtdtrading.rtdserver",, "T&amp;T0", "AVD", 30)</f>
        <v>-</v>
      </c>
    </row>
    <row r="40" spans="1:12" x14ac:dyDescent="0.25">
      <c r="H40" t="str">
        <f>RTD("rtdtrading.rtdserver",, "T&amp;T0", "DAT", 31)</f>
        <v>11:17:10</v>
      </c>
      <c r="I40" t="str">
        <f>RTD("rtdtrading.rtdserver",, "T&amp;T0", "ACP", 31)</f>
        <v>-</v>
      </c>
      <c r="J40">
        <f>RTD("rtdtrading.rtdserver",, "T&amp;T0", "PRE", 31)</f>
        <v>187100</v>
      </c>
      <c r="K40">
        <f>RTD("rtdtrading.rtdserver",, "T&amp;T0", "QUL", 31)</f>
        <v>168</v>
      </c>
      <c r="L40" t="str">
        <f>RTD("rtdtrading.rtdserver",, "T&amp;T0", "AVD", 31)</f>
        <v>XP</v>
      </c>
    </row>
    <row r="41" spans="1:12" x14ac:dyDescent="0.25">
      <c r="H41" t="str">
        <f>RTD("rtdtrading.rtdserver",, "T&amp;T0", "DAT", 32)</f>
        <v>11:17:09</v>
      </c>
      <c r="I41" t="str">
        <f>RTD("rtdtrading.rtdserver",, "T&amp;T0", "ACP", 32)</f>
        <v>Ideal</v>
      </c>
      <c r="J41">
        <f>RTD("rtdtrading.rtdserver",, "T&amp;T0", "PRE", 32)</f>
        <v>187115</v>
      </c>
      <c r="K41">
        <f>RTD("rtdtrading.rtdserver",, "T&amp;T0", "QUL", 32)</f>
        <v>85</v>
      </c>
      <c r="L41" t="str">
        <f>RTD("rtdtrading.rtdserver",, "T&amp;T0", "AVD", 32)</f>
        <v>-</v>
      </c>
    </row>
    <row r="42" spans="1:12" x14ac:dyDescent="0.25">
      <c r="H42" t="str">
        <f>RTD("rtdtrading.rtdserver",, "T&amp;T0", "DAT", 33)</f>
        <v>11:17:08</v>
      </c>
      <c r="I42" t="str">
        <f>RTD("rtdtrading.rtdserver",, "T&amp;T0", "ACP", 33)</f>
        <v>-</v>
      </c>
      <c r="J42">
        <f>RTD("rtdtrading.rtdserver",, "T&amp;T0", "PRE", 33)</f>
        <v>187125</v>
      </c>
      <c r="K42">
        <f>RTD("rtdtrading.rtdserver",, "T&amp;T0", "QUL", 33)</f>
        <v>97</v>
      </c>
      <c r="L42" t="str">
        <f>RTD("rtdtrading.rtdserver",, "T&amp;T0", "AVD", 33)</f>
        <v>UBS</v>
      </c>
    </row>
    <row r="43" spans="1:12" x14ac:dyDescent="0.25">
      <c r="H43" t="str">
        <f>RTD("rtdtrading.rtdserver",, "T&amp;T0", "DAT", 34)</f>
        <v>11:17:03</v>
      </c>
      <c r="I43" t="str">
        <f>RTD("rtdtrading.rtdserver",, "T&amp;T0", "ACP", 34)</f>
        <v>Ideal</v>
      </c>
      <c r="J43">
        <f>RTD("rtdtrading.rtdserver",, "T&amp;T0", "PRE", 34)</f>
        <v>187135</v>
      </c>
      <c r="K43">
        <f>RTD("rtdtrading.rtdserver",, "T&amp;T0", "QUL", 34)</f>
        <v>132</v>
      </c>
      <c r="L43" t="str">
        <f>RTD("rtdtrading.rtdserver",, "T&amp;T0", "AVD", 34)</f>
        <v>-</v>
      </c>
    </row>
    <row r="44" spans="1:12" x14ac:dyDescent="0.25">
      <c r="H44" t="str">
        <f>RTD("rtdtrading.rtdserver",, "T&amp;T0", "DAT", 35)</f>
        <v>11:17:03</v>
      </c>
      <c r="I44" t="str">
        <f>RTD("rtdtrading.rtdserver",, "T&amp;T0", "ACP", 35)</f>
        <v>XP</v>
      </c>
      <c r="J44">
        <f>RTD("rtdtrading.rtdserver",, "T&amp;T0", "PRE", 35)</f>
        <v>187140</v>
      </c>
      <c r="K44">
        <f>RTD("rtdtrading.rtdserver",, "T&amp;T0", "QUL", 35)</f>
        <v>87</v>
      </c>
      <c r="L44" t="str">
        <f>RTD("rtdtrading.rtdserver",, "T&amp;T0", "AVD", 35)</f>
        <v>-</v>
      </c>
    </row>
    <row r="45" spans="1:12" x14ac:dyDescent="0.25">
      <c r="H45" t="str">
        <f>RTD("rtdtrading.rtdserver",, "T&amp;T0", "DAT", 36)</f>
        <v>11:17:03</v>
      </c>
      <c r="I45" t="str">
        <f>RTD("rtdtrading.rtdserver",, "T&amp;T0", "ACP", 36)</f>
        <v>XP</v>
      </c>
      <c r="J45">
        <f>RTD("rtdtrading.rtdserver",, "T&amp;T0", "PRE", 36)</f>
        <v>187150</v>
      </c>
      <c r="K45">
        <f>RTD("rtdtrading.rtdserver",, "T&amp;T0", "QUL", 36)</f>
        <v>103</v>
      </c>
      <c r="L45" t="str">
        <f>RTD("rtdtrading.rtdserver",, "T&amp;T0", "AVD", 36)</f>
        <v>-</v>
      </c>
    </row>
    <row r="46" spans="1:12" x14ac:dyDescent="0.25">
      <c r="H46" t="str">
        <f>RTD("rtdtrading.rtdserver",, "T&amp;T0", "DAT", 37)</f>
        <v>11:17:03</v>
      </c>
      <c r="I46" t="str">
        <f>RTD("rtdtrading.rtdserver",, "T&amp;T0", "ACP", 37)</f>
        <v>XP</v>
      </c>
      <c r="J46">
        <f>RTD("rtdtrading.rtdserver",, "T&amp;T0", "PRE", 37)</f>
        <v>187155</v>
      </c>
      <c r="K46">
        <f>RTD("rtdtrading.rtdserver",, "T&amp;T0", "QUL", 37)</f>
        <v>125</v>
      </c>
      <c r="L46" t="str">
        <f>RTD("rtdtrading.rtdserver",, "T&amp;T0", "AVD", 37)</f>
        <v>-</v>
      </c>
    </row>
    <row r="47" spans="1:12" x14ac:dyDescent="0.25">
      <c r="H47" t="str">
        <f>RTD("rtdtrading.rtdserver",, "T&amp;T0", "DAT", 38)</f>
        <v>11:17:03</v>
      </c>
      <c r="I47" t="str">
        <f>RTD("rtdtrading.rtdserver",, "T&amp;T0", "ACP", 38)</f>
        <v>UBS</v>
      </c>
      <c r="J47">
        <f>RTD("rtdtrading.rtdserver",, "T&amp;T0", "PRE", 38)</f>
        <v>187145</v>
      </c>
      <c r="K47">
        <f>RTD("rtdtrading.rtdserver",, "T&amp;T0", "QUL", 38)</f>
        <v>88</v>
      </c>
      <c r="L47" t="str">
        <f>RTD("rtdtrading.rtdserver",, "T&amp;T0", "AVD", 38)</f>
        <v>-</v>
      </c>
    </row>
    <row r="48" spans="1:12" x14ac:dyDescent="0.25">
      <c r="H48" t="str">
        <f>RTD("rtdtrading.rtdserver",, "T&amp;T0", "DAT", 39)</f>
        <v>11:17:03</v>
      </c>
      <c r="I48" t="str">
        <f>RTD("rtdtrading.rtdserver",, "T&amp;T0", "ACP", 39)</f>
        <v>UBS</v>
      </c>
      <c r="J48">
        <f>RTD("rtdtrading.rtdserver",, "T&amp;T0", "PRE", 39)</f>
        <v>187140</v>
      </c>
      <c r="K48">
        <f>RTD("rtdtrading.rtdserver",, "T&amp;T0", "QUL", 39)</f>
        <v>90</v>
      </c>
      <c r="L48" t="str">
        <f>RTD("rtdtrading.rtdserver",, "T&amp;T0", "AVD", 39)</f>
        <v>-</v>
      </c>
    </row>
    <row r="49" spans="8:12" x14ac:dyDescent="0.25">
      <c r="H49" t="str">
        <f>RTD("rtdtrading.rtdserver",, "T&amp;T0", "DAT", 40)</f>
        <v>11:17:02</v>
      </c>
      <c r="I49" t="str">
        <f>RTD("rtdtrading.rtdserver",, "T&amp;T0", "ACP", 40)</f>
        <v>Ideal</v>
      </c>
      <c r="J49">
        <f>RTD("rtdtrading.rtdserver",, "T&amp;T0", "PRE", 40)</f>
        <v>187125</v>
      </c>
      <c r="K49">
        <f>RTD("rtdtrading.rtdserver",, "T&amp;T0", "QUL", 40)</f>
        <v>92</v>
      </c>
      <c r="L49" t="str">
        <f>RTD("rtdtrading.rtdserver",, "T&amp;T0", "AVD", 40)</f>
        <v>-</v>
      </c>
    </row>
    <row r="50" spans="8:12" x14ac:dyDescent="0.25">
      <c r="H50" t="str">
        <f>RTD("rtdtrading.rtdserver",, "T&amp;T0", "DAT", 41)</f>
        <v>11:17:02</v>
      </c>
      <c r="I50" t="str">
        <f>RTD("rtdtrading.rtdserver",, "T&amp;T0", "ACP", 41)</f>
        <v>-</v>
      </c>
      <c r="J50">
        <f>RTD("rtdtrading.rtdserver",, "T&amp;T0", "PRE", 41)</f>
        <v>187095</v>
      </c>
      <c r="K50">
        <f>RTD("rtdtrading.rtdserver",, "T&amp;T0", "QUL", 41)</f>
        <v>87</v>
      </c>
      <c r="L50" t="str">
        <f>RTD("rtdtrading.rtdserver",, "T&amp;T0", "AVD", 41)</f>
        <v>XP</v>
      </c>
    </row>
    <row r="51" spans="8:12" x14ac:dyDescent="0.25">
      <c r="H51" t="str">
        <f>RTD("rtdtrading.rtdserver",, "T&amp;T0", "DAT", 42)</f>
        <v>11:17:01</v>
      </c>
      <c r="I51" t="str">
        <f>RTD("rtdtrading.rtdserver",, "T&amp;T0", "ACP", 42)</f>
        <v>-</v>
      </c>
      <c r="J51">
        <f>RTD("rtdtrading.rtdserver",, "T&amp;T0", "PRE", 42)</f>
        <v>187090</v>
      </c>
      <c r="K51">
        <f>RTD("rtdtrading.rtdserver",, "T&amp;T0", "QUL", 42)</f>
        <v>115</v>
      </c>
      <c r="L51" t="str">
        <f>RTD("rtdtrading.rtdserver",, "T&amp;T0", "AVD", 42)</f>
        <v>Ideal</v>
      </c>
    </row>
    <row r="52" spans="8:12" x14ac:dyDescent="0.25">
      <c r="H52" t="str">
        <f>RTD("rtdtrading.rtdserver",, "T&amp;T0", "DAT", 43)</f>
        <v>11:16:56</v>
      </c>
      <c r="I52" t="str">
        <f>RTD("rtdtrading.rtdserver",, "T&amp;T0", "ACP", 43)</f>
        <v>-</v>
      </c>
      <c r="J52">
        <f>RTD("rtdtrading.rtdserver",, "T&amp;T0", "PRE", 43)</f>
        <v>187075</v>
      </c>
      <c r="K52">
        <f>RTD("rtdtrading.rtdserver",, "T&amp;T0", "QUL", 43)</f>
        <v>87</v>
      </c>
      <c r="L52" t="str">
        <f>RTD("rtdtrading.rtdserver",, "T&amp;T0", "AVD", 43)</f>
        <v>BTG</v>
      </c>
    </row>
    <row r="53" spans="8:12" x14ac:dyDescent="0.25">
      <c r="H53" t="str">
        <f>RTD("rtdtrading.rtdserver",, "T&amp;T0", "DAT", 44)</f>
        <v>11:16:55</v>
      </c>
      <c r="I53" t="str">
        <f>RTD("rtdtrading.rtdserver",, "T&amp;T0", "ACP", 44)</f>
        <v>-</v>
      </c>
      <c r="J53">
        <f>RTD("rtdtrading.rtdserver",, "T&amp;T0", "PRE", 44)</f>
        <v>187085</v>
      </c>
      <c r="K53">
        <f>RTD("rtdtrading.rtdserver",, "T&amp;T0", "QUL", 44)</f>
        <v>141</v>
      </c>
      <c r="L53" t="str">
        <f>RTD("rtdtrading.rtdserver",, "T&amp;T0", "AVD", 44)</f>
        <v>Ideal</v>
      </c>
    </row>
    <row r="54" spans="8:12" x14ac:dyDescent="0.25">
      <c r="H54" t="str">
        <f>RTD("rtdtrading.rtdserver",, "T&amp;T0", "DAT", 45)</f>
        <v>11:16:53</v>
      </c>
      <c r="I54" t="str">
        <f>RTD("rtdtrading.rtdserver",, "T&amp;T0", "ACP", 45)</f>
        <v>-</v>
      </c>
      <c r="J54">
        <f>RTD("rtdtrading.rtdserver",, "T&amp;T0", "PRE", 45)</f>
        <v>187085</v>
      </c>
      <c r="K54">
        <f>RTD("rtdtrading.rtdserver",, "T&amp;T0", "QUL", 45)</f>
        <v>108</v>
      </c>
      <c r="L54" t="str">
        <f>RTD("rtdtrading.rtdserver",, "T&amp;T0", "AVD", 45)</f>
        <v>XP</v>
      </c>
    </row>
    <row r="55" spans="8:12" x14ac:dyDescent="0.25">
      <c r="H55" t="str">
        <f>RTD("rtdtrading.rtdserver",, "T&amp;T0", "DAT", 46)</f>
        <v>11:16:52</v>
      </c>
      <c r="I55" t="str">
        <f>RTD("rtdtrading.rtdserver",, "T&amp;T0", "ACP", 46)</f>
        <v>XP</v>
      </c>
      <c r="J55">
        <f>RTD("rtdtrading.rtdserver",, "T&amp;T0", "PRE", 46)</f>
        <v>187080</v>
      </c>
      <c r="K55">
        <f>RTD("rtdtrading.rtdserver",, "T&amp;T0", "QUL", 46)</f>
        <v>101</v>
      </c>
      <c r="L55" t="str">
        <f>RTD("rtdtrading.rtdserver",, "T&amp;T0", "AVD", 46)</f>
        <v>-</v>
      </c>
    </row>
    <row r="56" spans="8:12" x14ac:dyDescent="0.25">
      <c r="H56" t="str">
        <f>RTD("rtdtrading.rtdserver",, "T&amp;T0", "DAT", 47)</f>
        <v>11:16:52</v>
      </c>
      <c r="I56" t="str">
        <f>RTD("rtdtrading.rtdserver",, "T&amp;T0", "ACP", 47)</f>
        <v>UBS</v>
      </c>
      <c r="J56">
        <f>RTD("rtdtrading.rtdserver",, "T&amp;T0", "PRE", 47)</f>
        <v>187075</v>
      </c>
      <c r="K56">
        <f>RTD("rtdtrading.rtdserver",, "T&amp;T0", "QUL", 47)</f>
        <v>122</v>
      </c>
      <c r="L56" t="str">
        <f>RTD("rtdtrading.rtdserver",, "T&amp;T0", "AVD", 47)</f>
        <v>-</v>
      </c>
    </row>
    <row r="57" spans="8:12" x14ac:dyDescent="0.25">
      <c r="H57" t="str">
        <f>RTD("rtdtrading.rtdserver",, "T&amp;T0", "DAT", 48)</f>
        <v>11:16:49</v>
      </c>
      <c r="I57" t="str">
        <f>RTD("rtdtrading.rtdserver",, "T&amp;T0", "ACP", 48)</f>
        <v>-</v>
      </c>
      <c r="J57">
        <f>RTD("rtdtrading.rtdserver",, "T&amp;T0", "PRE", 48)</f>
        <v>187100</v>
      </c>
      <c r="K57">
        <f>RTD("rtdtrading.rtdserver",, "T&amp;T0", "QUL", 48)</f>
        <v>87</v>
      </c>
      <c r="L57" t="str">
        <f>RTD("rtdtrading.rtdserver",, "T&amp;T0", "AVD", 48)</f>
        <v>XP</v>
      </c>
    </row>
    <row r="58" spans="8:12" x14ac:dyDescent="0.25">
      <c r="H58" t="str">
        <f>RTD("rtdtrading.rtdserver",, "T&amp;T0", "DAT", 49)</f>
        <v>11:16:47</v>
      </c>
      <c r="I58" t="str">
        <f>RTD("rtdtrading.rtdserver",, "T&amp;T0", "ACP", 49)</f>
        <v>XP</v>
      </c>
      <c r="J58">
        <f>RTD("rtdtrading.rtdserver",, "T&amp;T0", "PRE", 49)</f>
        <v>187125</v>
      </c>
      <c r="K58">
        <f>RTD("rtdtrading.rtdserver",, "T&amp;T0", "QUL", 49)</f>
        <v>207</v>
      </c>
      <c r="L58" t="str">
        <f>RTD("rtdtrading.rtdserver",, "T&amp;T0", "AVD", 49)</f>
        <v>-</v>
      </c>
    </row>
    <row r="59" spans="8:12" x14ac:dyDescent="0.25">
      <c r="H59" t="str">
        <f>RTD("rtdtrading.rtdserver",, "T&amp;T0", "DAT", 50)</f>
        <v>11:16:47</v>
      </c>
      <c r="I59" t="str">
        <f>RTD("rtdtrading.rtdserver",, "T&amp;T0", "ACP", 50)</f>
        <v>UBS</v>
      </c>
      <c r="J59">
        <f>RTD("rtdtrading.rtdserver",, "T&amp;T0", "PRE", 50)</f>
        <v>187115</v>
      </c>
      <c r="K59">
        <f>RTD("rtdtrading.rtdserver",, "T&amp;T0", "QUL", 50)</f>
        <v>88</v>
      </c>
      <c r="L59" t="str">
        <f>RTD("rtdtrading.rtdserver",, "T&amp;T0", "AVD", 50)</f>
        <v>-</v>
      </c>
    </row>
    <row r="60" spans="8:12" x14ac:dyDescent="0.25">
      <c r="H60" t="str">
        <f>RTD("rtdtrading.rtdserver",, "T&amp;T0", "DAT", 51)</f>
        <v>11:16:47</v>
      </c>
      <c r="I60" t="str">
        <f>RTD("rtdtrading.rtdserver",, "T&amp;T0", "ACP", 51)</f>
        <v>Goldman</v>
      </c>
      <c r="J60">
        <f>RTD("rtdtrading.rtdserver",, "T&amp;T0", "PRE", 51)</f>
        <v>187115</v>
      </c>
      <c r="K60">
        <f>RTD("rtdtrading.rtdserver",, "T&amp;T0", "QUL", 51)</f>
        <v>108</v>
      </c>
      <c r="L60" t="str">
        <f>RTD("rtdtrading.rtdserver",, "T&amp;T0", "AVD", 51)</f>
        <v>-</v>
      </c>
    </row>
    <row r="61" spans="8:12" x14ac:dyDescent="0.25">
      <c r="H61" t="str">
        <f>RTD("rtdtrading.rtdserver",, "T&amp;T0", "DAT", 52)</f>
        <v>11:16:46</v>
      </c>
      <c r="I61" t="str">
        <f>RTD("rtdtrading.rtdserver",, "T&amp;T0", "ACP", 52)</f>
        <v>CM Capital</v>
      </c>
      <c r="J61">
        <f>RTD("rtdtrading.rtdserver",, "T&amp;T0", "PRE", 52)</f>
        <v>187110</v>
      </c>
      <c r="K61">
        <f>RTD("rtdtrading.rtdserver",, "T&amp;T0", "QUL", 52)</f>
        <v>90</v>
      </c>
      <c r="L61" t="str">
        <f>RTD("rtdtrading.rtdserver",, "T&amp;T0", "AVD", 52)</f>
        <v>-</v>
      </c>
    </row>
    <row r="62" spans="8:12" x14ac:dyDescent="0.25">
      <c r="H62" t="str">
        <f>RTD("rtdtrading.rtdserver",, "T&amp;T0", "DAT", 53)</f>
        <v>11:16:46</v>
      </c>
      <c r="I62" t="str">
        <f>RTD("rtdtrading.rtdserver",, "T&amp;T0", "ACP", 53)</f>
        <v>UBS</v>
      </c>
      <c r="J62">
        <f>RTD("rtdtrading.rtdserver",, "T&amp;T0", "PRE", 53)</f>
        <v>187100</v>
      </c>
      <c r="K62">
        <f>RTD("rtdtrading.rtdserver",, "T&amp;T0", "QUL", 53)</f>
        <v>87</v>
      </c>
      <c r="L62" t="str">
        <f>RTD("rtdtrading.rtdserver",, "T&amp;T0", "AVD", 53)</f>
        <v>-</v>
      </c>
    </row>
    <row r="63" spans="8:12" x14ac:dyDescent="0.25">
      <c r="H63" t="str">
        <f>RTD("rtdtrading.rtdserver",, "T&amp;T0", "DAT", 54)</f>
        <v>11:16:46</v>
      </c>
      <c r="I63" t="str">
        <f>RTD("rtdtrading.rtdserver",, "T&amp;T0", "ACP", 54)</f>
        <v>-</v>
      </c>
      <c r="J63">
        <f>RTD("rtdtrading.rtdserver",, "T&amp;T0", "PRE", 54)</f>
        <v>187085</v>
      </c>
      <c r="K63">
        <f>RTD("rtdtrading.rtdserver",, "T&amp;T0", "QUL", 54)</f>
        <v>87</v>
      </c>
      <c r="L63" t="str">
        <f>RTD("rtdtrading.rtdserver",, "T&amp;T0", "AVD", 54)</f>
        <v>BTG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LEIA-ME</vt:lpstr>
      <vt:lpstr>HISTORICO</vt:lpstr>
      <vt:lpstr>CONFIG_CAPTURA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deitos</dc:creator>
  <cp:lastModifiedBy>deitos</cp:lastModifiedBy>
  <dcterms:created xsi:type="dcterms:W3CDTF">2026-09-13T17:14:39Z</dcterms:created>
  <dcterms:modified xsi:type="dcterms:W3CDTF">2026-09-16T14:18:24Z</dcterms:modified>
</cp:coreProperties>
</file>