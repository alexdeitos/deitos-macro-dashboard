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rcado Financeiro\"/>
    </mc:Choice>
  </mc:AlternateContent>
  <bookViews>
    <workbookView xWindow="0" yWindow="0" windowWidth="23040" windowHeight="8940"/>
  </bookViews>
  <sheets>
    <sheet name="Aber.Dollar" sheetId="1" r:id="rId1"/>
  </sheets>
  <calcPr calcId="162913"/>
</workbook>
</file>

<file path=xl/calcChain.xml><?xml version="1.0" encoding="utf-8"?>
<calcChain xmlns="http://schemas.openxmlformats.org/spreadsheetml/2006/main">
  <c r="C4" i="1" l="1"/>
  <c r="F8" i="1" s="1"/>
  <c r="C3" i="1"/>
  <c r="C7" i="1" l="1"/>
  <c r="K10" i="1"/>
  <c r="K9" i="1"/>
  <c r="K7" i="1"/>
  <c r="K5" i="1"/>
  <c r="K3" i="1"/>
  <c r="C5" i="1"/>
  <c r="K8" i="1"/>
  <c r="K6" i="1"/>
  <c r="K4" i="1"/>
  <c r="C6" i="1"/>
</calcChain>
</file>

<file path=xl/sharedStrings.xml><?xml version="1.0" encoding="utf-8"?>
<sst xmlns="http://schemas.openxmlformats.org/spreadsheetml/2006/main" count="26" uniqueCount="19">
  <si>
    <t>Abertura Dólar</t>
  </si>
  <si>
    <t>Máx</t>
  </si>
  <si>
    <t>Taxa Over</t>
  </si>
  <si>
    <t>Min</t>
  </si>
  <si>
    <t>Preço justo</t>
  </si>
  <si>
    <t>Dia Uteis do Ano</t>
  </si>
  <si>
    <t>Delta</t>
  </si>
  <si>
    <t>PTAX 10H*</t>
  </si>
  <si>
    <t>PTAX 11H*</t>
  </si>
  <si>
    <t>PTAX 12H*</t>
  </si>
  <si>
    <t>PTAX 13H*</t>
  </si>
  <si>
    <t xml:space="preserve">Máxima </t>
  </si>
  <si>
    <t xml:space="preserve">Mínima </t>
  </si>
  <si>
    <t>Preencher os campos em cinza</t>
  </si>
  <si>
    <t>Fechamento dia Anterior DOLAR</t>
  </si>
  <si>
    <t>Variação Dx</t>
  </si>
  <si>
    <t>Taxa DI</t>
  </si>
  <si>
    <t>Dólar Comercial</t>
  </si>
  <si>
    <t>Dias Vencimento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</si>
</sst>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Arial"/>
    </font>
    <font>
      <sz val="11"/>
      <color theme="0"/>
      <name val="Calibri"/>
    </font>
    <font>
      <b/>
      <sz val="12"/>
      <color theme="0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Arial"/>
    </font>
    <font>
      <b/>
      <sz val="12"/>
      <color theme="0"/>
      <name val="Calibri"/>
      <family val="2"/>
      <scheme val="minor"/>
    </font>
    <font>
      <u/>
      <sz val="11"/>
      <color theme="0"/>
      <name val="Calibri"/>
    </font>
    <font>
      <b/>
      <sz val="12"/>
      <color theme="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2" applyNumberFormat="0" applyAlignment="0" applyProtection="0"/>
  </cellStyleXfs>
  <cellXfs count="26">
    <xf numFmtId="0" fontId="0" fillId="0" borderId="0" xfId="0" applyFont="1" applyAlignment="1"/>
    <xf numFmtId="0" fontId="1" fillId="5" borderId="1" xfId="0" applyFont="1" applyFill="1" applyBorder="1" applyProtection="1">
      <protection locked="0"/>
    </xf>
    <xf numFmtId="0" fontId="7" fillId="5" borderId="0" xfId="0" applyFont="1" applyFill="1" applyAlignment="1" applyProtection="1">
      <protection locked="0"/>
    </xf>
    <xf numFmtId="0" fontId="6" fillId="8" borderId="4" xfId="1" applyFont="1" applyFill="1" applyBorder="1" applyAlignment="1" applyProtection="1">
      <alignment horizontal="center" vertical="center"/>
      <protection locked="0"/>
    </xf>
    <xf numFmtId="164" fontId="8" fillId="8" borderId="4" xfId="1" applyNumberFormat="1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15" fillId="6" borderId="4" xfId="0" applyFont="1" applyFill="1" applyBorder="1" applyAlignment="1" applyProtection="1">
      <alignment horizontal="center" vertical="center"/>
      <protection locked="0"/>
    </xf>
    <xf numFmtId="0" fontId="11" fillId="2" borderId="3" xfId="1" applyFont="1" applyBorder="1" applyAlignment="1" applyProtection="1">
      <alignment horizontal="center" vertical="center"/>
      <protection locked="0"/>
    </xf>
    <xf numFmtId="164" fontId="11" fillId="2" borderId="3" xfId="1" applyNumberFormat="1" applyFont="1" applyBorder="1" applyAlignment="1" applyProtection="1">
      <alignment horizontal="center"/>
      <protection locked="0"/>
    </xf>
    <xf numFmtId="0" fontId="10" fillId="5" borderId="4" xfId="0" applyFont="1" applyFill="1" applyBorder="1" applyAlignment="1" applyProtection="1">
      <alignment horizontal="center" vertical="center"/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/>
      <protection locked="0"/>
    </xf>
    <xf numFmtId="0" fontId="12" fillId="3" borderId="3" xfId="2" applyFont="1" applyBorder="1" applyAlignment="1" applyProtection="1">
      <alignment horizontal="center" vertical="center"/>
      <protection locked="0"/>
    </xf>
    <xf numFmtId="164" fontId="12" fillId="3" borderId="3" xfId="2" applyNumberFormat="1" applyFont="1" applyBorder="1" applyAlignment="1" applyProtection="1">
      <alignment horizontal="center"/>
      <protection locked="0"/>
    </xf>
    <xf numFmtId="0" fontId="10" fillId="7" borderId="6" xfId="0" applyFont="1" applyFill="1" applyBorder="1" applyAlignment="1" applyProtection="1">
      <alignment horizontal="center" vertical="center"/>
      <protection locked="0"/>
    </xf>
    <xf numFmtId="164" fontId="13" fillId="7" borderId="6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1" applyNumberFormat="1" applyFont="1" applyBorder="1" applyAlignment="1" applyProtection="1">
      <alignment horizontal="center" vertical="center"/>
      <protection locked="0"/>
    </xf>
    <xf numFmtId="164" fontId="12" fillId="3" borderId="3" xfId="2" applyNumberFormat="1" applyFont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protection locked="0"/>
    </xf>
    <xf numFmtId="0" fontId="16" fillId="5" borderId="0" xfId="0" applyFont="1" applyFill="1" applyAlignment="1" applyProtection="1">
      <alignment horizontal="left" vertical="top"/>
      <protection locked="0"/>
    </xf>
    <xf numFmtId="0" fontId="7" fillId="5" borderId="0" xfId="0" applyFont="1" applyFill="1" applyAlignment="1" applyProtection="1">
      <alignment horizontal="left" vertical="top"/>
      <protection locked="0"/>
    </xf>
    <xf numFmtId="0" fontId="6" fillId="5" borderId="4" xfId="3" applyFont="1" applyFill="1" applyBorder="1" applyAlignment="1" applyProtection="1">
      <alignment horizontal="center" vertical="center"/>
      <protection locked="0"/>
    </xf>
    <xf numFmtId="0" fontId="6" fillId="5" borderId="4" xfId="3" applyFont="1" applyFill="1" applyBorder="1" applyProtection="1">
      <protection locked="0"/>
    </xf>
    <xf numFmtId="0" fontId="13" fillId="6" borderId="5" xfId="0" applyFont="1" applyFill="1" applyBorder="1" applyAlignment="1" applyProtection="1">
      <alignment horizontal="center" vertical="center"/>
      <protection locked="0"/>
    </xf>
    <xf numFmtId="0" fontId="14" fillId="6" borderId="5" xfId="0" applyFont="1" applyFill="1" applyBorder="1" applyProtection="1">
      <protection locked="0"/>
    </xf>
  </cellXfs>
  <cellStyles count="4">
    <cellStyle name="Bom" xfId="1" builtinId="26"/>
    <cellStyle name="Cálculo" xfId="3" builtinId="22"/>
    <cellStyle name="Incorreto" xfId="2" builtinId="27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t.me/JediAcadem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1</xdr:row>
      <xdr:rowOff>66674</xdr:rowOff>
    </xdr:from>
    <xdr:to>
      <xdr:col>14</xdr:col>
      <xdr:colOff>414493</xdr:colOff>
      <xdr:row>10</xdr:row>
      <xdr:rowOff>19050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CA6164-D0F7-4FDA-B260-AA748906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00" y="257174"/>
          <a:ext cx="2138518" cy="2000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.tradingview.com/symbols/USDBRL/" TargetMode="External"/><Relationship Id="rId2" Type="http://schemas.openxmlformats.org/officeDocument/2006/relationships/hyperlink" Target="https://br.advfn.com/investimentos/futuros/di-depositos-interfinanceiros/cotacoes" TargetMode="External"/><Relationship Id="rId1" Type="http://schemas.openxmlformats.org/officeDocument/2006/relationships/hyperlink" Target="https://br.investing.com/economic-calenda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workbookViewId="0">
      <selection activeCell="I3" sqref="I3:I4"/>
    </sheetView>
  </sheetViews>
  <sheetFormatPr defaultColWidth="0" defaultRowHeight="0" customHeight="1" zeroHeight="1" x14ac:dyDescent="0.2"/>
  <cols>
    <col min="1" max="1" width="5" style="19" customWidth="1"/>
    <col min="2" max="2" width="13.375" style="19" customWidth="1"/>
    <col min="3" max="3" width="11.875" style="19" customWidth="1"/>
    <col min="4" max="4" width="1.375" style="19" customWidth="1"/>
    <col min="5" max="5" width="29.125" style="19" bestFit="1" customWidth="1"/>
    <col min="6" max="6" width="10.5" style="19" bestFit="1" customWidth="1"/>
    <col min="7" max="7" width="1.375" style="19" customWidth="1"/>
    <col min="8" max="8" width="11.75" style="19" customWidth="1"/>
    <col min="9" max="9" width="7.625" style="19" customWidth="1"/>
    <col min="10" max="10" width="9" style="19" bestFit="1" customWidth="1"/>
    <col min="11" max="11" width="10.75" style="19" customWidth="1"/>
    <col min="12" max="12" width="8" style="19" customWidth="1"/>
    <col min="13" max="15" width="7.625" style="19" customWidth="1"/>
    <col min="16" max="18" width="0" style="19" hidden="1" customWidth="1"/>
    <col min="19" max="19" width="7.625" style="19" hidden="1" customWidth="1"/>
    <col min="20" max="21" width="0" style="19" hidden="1" customWidth="1"/>
    <col min="22" max="22" width="7.625" style="19" hidden="1" customWidth="1"/>
    <col min="23" max="16384" width="12.625" style="19" hidden="1"/>
  </cols>
  <sheetData>
    <row r="1" spans="1:15" s="2" customFormat="1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5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2" customFormat="1" ht="19.5" customHeight="1" x14ac:dyDescent="0.25">
      <c r="A3" s="1"/>
      <c r="B3" s="3" t="s">
        <v>0</v>
      </c>
      <c r="C3" s="4">
        <f>F3*(1+(F4/100))</f>
        <v>5009.9978000000001</v>
      </c>
      <c r="D3" s="1"/>
      <c r="E3" s="5" t="s">
        <v>14</v>
      </c>
      <c r="F3" s="6">
        <v>4999</v>
      </c>
      <c r="G3" s="1"/>
      <c r="H3" s="22" t="s">
        <v>7</v>
      </c>
      <c r="I3" s="24">
        <v>5609</v>
      </c>
      <c r="J3" s="7" t="s">
        <v>1</v>
      </c>
      <c r="K3" s="8">
        <f>I3*(1+(F8/100))+F10</f>
        <v>5637.9221075662508</v>
      </c>
      <c r="N3" s="1"/>
      <c r="O3" s="1"/>
    </row>
    <row r="4" spans="1:15" s="2" customFormat="1" ht="19.5" customHeight="1" x14ac:dyDescent="0.25">
      <c r="A4" s="1"/>
      <c r="B4" s="9" t="s">
        <v>2</v>
      </c>
      <c r="C4" s="10">
        <f>(((F5+1)^(1/F9))-1)*F7</f>
        <v>8.7753745164027563E-2</v>
      </c>
      <c r="D4" s="1"/>
      <c r="E4" s="11" t="s">
        <v>15</v>
      </c>
      <c r="F4" s="6">
        <v>0.22</v>
      </c>
      <c r="G4" s="1"/>
      <c r="H4" s="23"/>
      <c r="I4" s="25"/>
      <c r="J4" s="12" t="s">
        <v>3</v>
      </c>
      <c r="K4" s="13">
        <f>I3*(1+(F8/100))-F10</f>
        <v>5589.9221075662508</v>
      </c>
      <c r="N4" s="1"/>
      <c r="O4" s="1"/>
    </row>
    <row r="5" spans="1:15" s="2" customFormat="1" ht="19.5" customHeight="1" x14ac:dyDescent="0.25">
      <c r="A5" s="1"/>
      <c r="B5" s="14" t="s">
        <v>4</v>
      </c>
      <c r="C5" s="15">
        <f>F6*(1+(F8/100))</f>
        <v>4987.3727691215236</v>
      </c>
      <c r="D5" s="1"/>
      <c r="E5" s="11" t="s">
        <v>16</v>
      </c>
      <c r="F5" s="6">
        <v>14.63</v>
      </c>
      <c r="G5" s="1"/>
      <c r="H5" s="22" t="s">
        <v>8</v>
      </c>
      <c r="I5" s="24">
        <v>5651</v>
      </c>
      <c r="J5" s="7" t="s">
        <v>1</v>
      </c>
      <c r="K5" s="8">
        <f>I5*(1+(F8/100))+F10</f>
        <v>5679.9589641392195</v>
      </c>
      <c r="N5" s="1"/>
      <c r="O5" s="1"/>
    </row>
    <row r="6" spans="1:15" s="2" customFormat="1" ht="19.5" customHeight="1" x14ac:dyDescent="0.25">
      <c r="A6" s="1"/>
      <c r="B6" s="7" t="s">
        <v>11</v>
      </c>
      <c r="C6" s="16">
        <f>C3*(1+(F8/100))+F10</f>
        <v>5038.3942607021354</v>
      </c>
      <c r="D6" s="1"/>
      <c r="E6" s="11" t="s">
        <v>17</v>
      </c>
      <c r="F6" s="6">
        <v>4983</v>
      </c>
      <c r="G6" s="1"/>
      <c r="H6" s="23"/>
      <c r="I6" s="25"/>
      <c r="J6" s="12" t="s">
        <v>3</v>
      </c>
      <c r="K6" s="13">
        <f>I5*(1+(F8/100))-F10</f>
        <v>5631.9589641392195</v>
      </c>
      <c r="N6" s="1"/>
      <c r="O6" s="1"/>
    </row>
    <row r="7" spans="1:15" s="2" customFormat="1" ht="19.5" customHeight="1" x14ac:dyDescent="0.25">
      <c r="A7" s="1"/>
      <c r="B7" s="12" t="s">
        <v>12</v>
      </c>
      <c r="C7" s="17">
        <f>C3*(1+(F8/100))-F10</f>
        <v>4990.3942607021354</v>
      </c>
      <c r="D7" s="1"/>
      <c r="E7" s="5" t="s">
        <v>18</v>
      </c>
      <c r="F7" s="6">
        <v>8</v>
      </c>
      <c r="G7" s="1"/>
      <c r="H7" s="22" t="s">
        <v>9</v>
      </c>
      <c r="I7" s="24">
        <v>5651</v>
      </c>
      <c r="J7" s="7" t="s">
        <v>1</v>
      </c>
      <c r="K7" s="8">
        <f>I7*(1+(F8/100))+F10</f>
        <v>5679.9589641392195</v>
      </c>
      <c r="N7" s="1"/>
      <c r="O7" s="1"/>
    </row>
    <row r="8" spans="1:15" s="2" customFormat="1" ht="19.5" customHeight="1" x14ac:dyDescent="0.25">
      <c r="A8" s="1"/>
      <c r="D8" s="1"/>
      <c r="E8" s="5" t="s">
        <v>2</v>
      </c>
      <c r="F8" s="18">
        <f>C4</f>
        <v>8.7753745164027563E-2</v>
      </c>
      <c r="G8" s="1"/>
      <c r="H8" s="23"/>
      <c r="I8" s="25"/>
      <c r="J8" s="12" t="s">
        <v>3</v>
      </c>
      <c r="K8" s="13">
        <f>I7*(1+(F8/100))-F10</f>
        <v>5631.9589641392195</v>
      </c>
      <c r="N8" s="1"/>
      <c r="O8" s="1"/>
    </row>
    <row r="9" spans="1:15" s="2" customFormat="1" ht="19.5" customHeight="1" x14ac:dyDescent="0.25">
      <c r="A9" s="1"/>
      <c r="D9" s="1"/>
      <c r="E9" s="5" t="s">
        <v>5</v>
      </c>
      <c r="F9" s="18">
        <v>252</v>
      </c>
      <c r="G9" s="1"/>
      <c r="H9" s="22" t="s">
        <v>10</v>
      </c>
      <c r="I9" s="24">
        <v>4444</v>
      </c>
      <c r="J9" s="7" t="s">
        <v>1</v>
      </c>
      <c r="K9" s="8">
        <f>I9*(1+(F8/100))+24</f>
        <v>4471.8997764350897</v>
      </c>
      <c r="N9" s="1"/>
      <c r="O9" s="1"/>
    </row>
    <row r="10" spans="1:15" s="2" customFormat="1" ht="19.5" customHeight="1" x14ac:dyDescent="0.25">
      <c r="A10" s="1"/>
      <c r="D10" s="1"/>
      <c r="E10" s="5" t="s">
        <v>6</v>
      </c>
      <c r="F10" s="18">
        <v>24</v>
      </c>
      <c r="G10" s="1"/>
      <c r="H10" s="23"/>
      <c r="I10" s="25"/>
      <c r="J10" s="12" t="s">
        <v>3</v>
      </c>
      <c r="K10" s="13">
        <f>I9*(1+(F8/100))-F10</f>
        <v>4423.8997764350897</v>
      </c>
      <c r="N10" s="1"/>
      <c r="O10" s="1"/>
    </row>
    <row r="11" spans="1:15" s="2" customFormat="1" ht="15" customHeight="1" x14ac:dyDescent="0.2"/>
    <row r="12" spans="1:15" s="2" customFormat="1" ht="15" customHeight="1" x14ac:dyDescent="0.2"/>
    <row r="13" spans="1:15" s="2" customFormat="1" ht="15" customHeight="1" x14ac:dyDescent="0.2"/>
    <row r="14" spans="1:15" s="2" customFormat="1" ht="15" customHeight="1" x14ac:dyDescent="0.2"/>
    <row r="15" spans="1:15" s="2" customFormat="1" ht="15" customHeight="1" x14ac:dyDescent="0.2">
      <c r="A15" s="20" t="s">
        <v>13</v>
      </c>
      <c r="B15" s="21"/>
      <c r="C15" s="21"/>
      <c r="D15" s="21"/>
      <c r="E15" s="21"/>
      <c r="F15" s="21"/>
    </row>
    <row r="16" spans="1:15" s="2" customFormat="1" ht="15" hidden="1" customHeight="1" x14ac:dyDescent="0.2"/>
    <row r="17" s="2" customFormat="1" ht="15" hidden="1" customHeight="1" x14ac:dyDescent="0.2"/>
    <row r="18" s="2" customFormat="1" ht="15" hidden="1" customHeight="1" x14ac:dyDescent="0.2"/>
    <row r="19" s="2" customFormat="1" ht="15" hidden="1" customHeight="1" x14ac:dyDescent="0.2"/>
    <row r="20" s="2" customFormat="1" ht="15" hidden="1" customHeight="1" x14ac:dyDescent="0.2"/>
    <row r="21" s="2" customFormat="1" ht="15" hidden="1" customHeight="1" x14ac:dyDescent="0.2"/>
    <row r="22" s="2" customFormat="1" ht="15" hidden="1" customHeight="1" x14ac:dyDescent="0.2"/>
    <row r="23" s="2" customFormat="1" ht="15" hidden="1" customHeight="1" x14ac:dyDescent="0.2"/>
    <row r="24" s="2" customFormat="1" ht="15" hidden="1" customHeight="1" x14ac:dyDescent="0.2"/>
    <row r="25" s="2" customFormat="1" ht="15" hidden="1" customHeight="1" x14ac:dyDescent="0.2"/>
    <row r="26" s="2" customFormat="1" ht="15" hidden="1" customHeight="1" x14ac:dyDescent="0.2"/>
    <row r="27" s="2" customFormat="1" ht="15" hidden="1" customHeight="1" x14ac:dyDescent="0.2"/>
    <row r="28" s="2" customFormat="1" ht="15" hidden="1" customHeight="1" x14ac:dyDescent="0.2"/>
    <row r="29" s="2" customFormat="1" ht="15" hidden="1" customHeight="1" x14ac:dyDescent="0.2"/>
    <row r="30" s="2" customFormat="1" ht="15" hidden="1" customHeight="1" x14ac:dyDescent="0.2"/>
    <row r="31" ht="15" hidden="1" customHeight="1" x14ac:dyDescent="0.2"/>
    <row r="32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  <row r="200" ht="15" hidden="1" customHeight="1" x14ac:dyDescent="0.2"/>
    <row r="201" ht="15" hidden="1" customHeight="1" x14ac:dyDescent="0.2"/>
    <row r="202" ht="15" hidden="1" customHeight="1" x14ac:dyDescent="0.2"/>
    <row r="203" ht="15" hidden="1" customHeight="1" x14ac:dyDescent="0.2"/>
    <row r="204" ht="15" hidden="1" customHeight="1" x14ac:dyDescent="0.2"/>
    <row r="205" ht="15" hidden="1" customHeight="1" x14ac:dyDescent="0.2"/>
    <row r="206" ht="15" hidden="1" customHeight="1" x14ac:dyDescent="0.2"/>
    <row r="207" ht="15" hidden="1" customHeight="1" x14ac:dyDescent="0.2"/>
    <row r="208" ht="15" hidden="1" customHeight="1" x14ac:dyDescent="0.2"/>
    <row r="209" ht="15" hidden="1" customHeight="1" x14ac:dyDescent="0.2"/>
    <row r="210" ht="15" hidden="1" customHeight="1" x14ac:dyDescent="0.2"/>
    <row r="211" ht="15" hidden="1" customHeight="1" x14ac:dyDescent="0.2"/>
    <row r="212" ht="15" hidden="1" customHeight="1" x14ac:dyDescent="0.2"/>
    <row r="213" ht="15" hidden="1" customHeight="1" x14ac:dyDescent="0.2"/>
    <row r="214" ht="15" hidden="1" customHeight="1" x14ac:dyDescent="0.2"/>
    <row r="215" ht="15" hidden="1" customHeight="1" x14ac:dyDescent="0.2"/>
    <row r="216" ht="15" hidden="1" customHeight="1" x14ac:dyDescent="0.2"/>
    <row r="217" ht="15" hidden="1" customHeight="1" x14ac:dyDescent="0.2"/>
    <row r="218" ht="15" hidden="1" customHeight="1" x14ac:dyDescent="0.2"/>
    <row r="219" ht="15" hidden="1" customHeight="1" x14ac:dyDescent="0.2"/>
    <row r="220" ht="15" hidden="1" customHeight="1" x14ac:dyDescent="0.2"/>
    <row r="221" ht="15" hidden="1" customHeight="1" x14ac:dyDescent="0.2"/>
    <row r="222" ht="15" hidden="1" customHeight="1" x14ac:dyDescent="0.2"/>
    <row r="223" ht="15" hidden="1" customHeight="1" x14ac:dyDescent="0.2"/>
    <row r="224" ht="15" hidden="1" customHeight="1" x14ac:dyDescent="0.2"/>
    <row r="225" ht="15" hidden="1" customHeight="1" x14ac:dyDescent="0.2"/>
    <row r="226" ht="15" hidden="1" customHeight="1" x14ac:dyDescent="0.2"/>
    <row r="227" ht="15" hidden="1" customHeight="1" x14ac:dyDescent="0.2"/>
    <row r="228" ht="15" hidden="1" customHeight="1" x14ac:dyDescent="0.2"/>
    <row r="229" ht="15" hidden="1" customHeight="1" x14ac:dyDescent="0.2"/>
    <row r="230" ht="15" hidden="1" customHeight="1" x14ac:dyDescent="0.2"/>
    <row r="231" ht="15" hidden="1" customHeight="1" x14ac:dyDescent="0.2"/>
    <row r="232" ht="15" hidden="1" customHeight="1" x14ac:dyDescent="0.2"/>
    <row r="233" ht="15" hidden="1" customHeight="1" x14ac:dyDescent="0.2"/>
    <row r="234" ht="15" hidden="1" customHeight="1" x14ac:dyDescent="0.2"/>
    <row r="235" ht="15" hidden="1" customHeight="1" x14ac:dyDescent="0.2"/>
    <row r="236" ht="15" hidden="1" customHeight="1" x14ac:dyDescent="0.2"/>
    <row r="237" ht="15" hidden="1" customHeight="1" x14ac:dyDescent="0.2"/>
    <row r="238" ht="15" hidden="1" customHeight="1" x14ac:dyDescent="0.2"/>
    <row r="239" ht="15" hidden="1" customHeight="1" x14ac:dyDescent="0.2"/>
    <row r="240" ht="15" hidden="1" customHeight="1" x14ac:dyDescent="0.2"/>
    <row r="241" ht="15" hidden="1" customHeight="1" x14ac:dyDescent="0.2"/>
    <row r="242" ht="15" hidden="1" customHeight="1" x14ac:dyDescent="0.2"/>
    <row r="243" ht="15" hidden="1" customHeight="1" x14ac:dyDescent="0.2"/>
    <row r="244" ht="15" hidden="1" customHeight="1" x14ac:dyDescent="0.2"/>
    <row r="245" ht="15" hidden="1" customHeight="1" x14ac:dyDescent="0.2"/>
    <row r="246" ht="15" hidden="1" customHeight="1" x14ac:dyDescent="0.2"/>
    <row r="247" ht="15" hidden="1" customHeight="1" x14ac:dyDescent="0.2"/>
    <row r="248" ht="15" hidden="1" customHeight="1" x14ac:dyDescent="0.2"/>
    <row r="249" ht="15" hidden="1" customHeight="1" x14ac:dyDescent="0.2"/>
    <row r="250" ht="15" hidden="1" customHeight="1" x14ac:dyDescent="0.2"/>
    <row r="251" ht="15" hidden="1" customHeight="1" x14ac:dyDescent="0.2"/>
    <row r="252" ht="15" hidden="1" customHeight="1" x14ac:dyDescent="0.2"/>
    <row r="253" ht="15" hidden="1" customHeight="1" x14ac:dyDescent="0.2"/>
    <row r="254" ht="15" hidden="1" customHeight="1" x14ac:dyDescent="0.2"/>
    <row r="255" ht="15" hidden="1" customHeight="1" x14ac:dyDescent="0.2"/>
    <row r="256" ht="15" hidden="1" customHeight="1" x14ac:dyDescent="0.2"/>
    <row r="257" ht="15" hidden="1" customHeight="1" x14ac:dyDescent="0.2"/>
    <row r="258" ht="15" hidden="1" customHeight="1" x14ac:dyDescent="0.2"/>
    <row r="259" ht="15" hidden="1" customHeight="1" x14ac:dyDescent="0.2"/>
    <row r="260" ht="15" hidden="1" customHeight="1" x14ac:dyDescent="0.2"/>
    <row r="261" ht="15" hidden="1" customHeight="1" x14ac:dyDescent="0.2"/>
    <row r="262" ht="15" hidden="1" customHeight="1" x14ac:dyDescent="0.2"/>
    <row r="263" ht="15" hidden="1" customHeight="1" x14ac:dyDescent="0.2"/>
    <row r="264" ht="15" hidden="1" customHeight="1" x14ac:dyDescent="0.2"/>
    <row r="265" ht="15" hidden="1" customHeight="1" x14ac:dyDescent="0.2"/>
    <row r="266" ht="15" hidden="1" customHeight="1" x14ac:dyDescent="0.2"/>
    <row r="267" ht="15" hidden="1" customHeight="1" x14ac:dyDescent="0.2"/>
    <row r="268" ht="15" hidden="1" customHeight="1" x14ac:dyDescent="0.2"/>
    <row r="269" ht="15" hidden="1" customHeight="1" x14ac:dyDescent="0.2"/>
    <row r="270" ht="15" hidden="1" customHeight="1" x14ac:dyDescent="0.2"/>
    <row r="271" ht="15" hidden="1" customHeight="1" x14ac:dyDescent="0.2"/>
    <row r="272" ht="15" hidden="1" customHeight="1" x14ac:dyDescent="0.2"/>
    <row r="273" ht="15" hidden="1" customHeight="1" x14ac:dyDescent="0.2"/>
    <row r="274" ht="15" hidden="1" customHeight="1" x14ac:dyDescent="0.2"/>
    <row r="275" ht="15" hidden="1" customHeight="1" x14ac:dyDescent="0.2"/>
    <row r="276" ht="15" hidden="1" customHeight="1" x14ac:dyDescent="0.2"/>
    <row r="277" ht="15" hidden="1" customHeight="1" x14ac:dyDescent="0.2"/>
    <row r="278" ht="15" hidden="1" customHeight="1" x14ac:dyDescent="0.2"/>
    <row r="279" ht="15" hidden="1" customHeight="1" x14ac:dyDescent="0.2"/>
    <row r="280" ht="15" hidden="1" customHeight="1" x14ac:dyDescent="0.2"/>
    <row r="281" ht="15" hidden="1" customHeight="1" x14ac:dyDescent="0.2"/>
    <row r="282" ht="15" hidden="1" customHeight="1" x14ac:dyDescent="0.2"/>
    <row r="283" ht="15" hidden="1" customHeight="1" x14ac:dyDescent="0.2"/>
    <row r="284" ht="15" hidden="1" customHeight="1" x14ac:dyDescent="0.2"/>
    <row r="285" ht="15" hidden="1" customHeight="1" x14ac:dyDescent="0.2"/>
    <row r="286" ht="15" hidden="1" customHeight="1" x14ac:dyDescent="0.2"/>
    <row r="287" ht="15" hidden="1" customHeight="1" x14ac:dyDescent="0.2"/>
    <row r="288" ht="15" hidden="1" customHeight="1" x14ac:dyDescent="0.2"/>
    <row r="289" ht="15" hidden="1" customHeight="1" x14ac:dyDescent="0.2"/>
    <row r="290" ht="15" hidden="1" customHeight="1" x14ac:dyDescent="0.2"/>
    <row r="291" ht="15" hidden="1" customHeight="1" x14ac:dyDescent="0.2"/>
    <row r="292" ht="15" hidden="1" customHeight="1" x14ac:dyDescent="0.2"/>
    <row r="293" ht="15" hidden="1" customHeight="1" x14ac:dyDescent="0.2"/>
    <row r="294" ht="15" hidden="1" customHeight="1" x14ac:dyDescent="0.2"/>
    <row r="295" ht="15" hidden="1" customHeight="1" x14ac:dyDescent="0.2"/>
    <row r="296" ht="15" hidden="1" customHeight="1" x14ac:dyDescent="0.2"/>
    <row r="297" ht="15" hidden="1" customHeight="1" x14ac:dyDescent="0.2"/>
    <row r="298" ht="15" hidden="1" customHeight="1" x14ac:dyDescent="0.2"/>
    <row r="299" ht="15" hidden="1" customHeight="1" x14ac:dyDescent="0.2"/>
    <row r="300" ht="15" hidden="1" customHeight="1" x14ac:dyDescent="0.2"/>
    <row r="301" ht="15" hidden="1" customHeight="1" x14ac:dyDescent="0.2"/>
    <row r="302" ht="15" hidden="1" customHeight="1" x14ac:dyDescent="0.2"/>
    <row r="303" ht="15" hidden="1" customHeight="1" x14ac:dyDescent="0.2"/>
    <row r="304" ht="15" hidden="1" customHeight="1" x14ac:dyDescent="0.2"/>
    <row r="305" ht="15" hidden="1" customHeight="1" x14ac:dyDescent="0.2"/>
    <row r="306" ht="15" hidden="1" customHeight="1" x14ac:dyDescent="0.2"/>
    <row r="307" ht="15" hidden="1" customHeight="1" x14ac:dyDescent="0.2"/>
    <row r="308" ht="15" hidden="1" customHeight="1" x14ac:dyDescent="0.2"/>
    <row r="309" ht="15" hidden="1" customHeight="1" x14ac:dyDescent="0.2"/>
    <row r="310" ht="15" hidden="1" customHeight="1" x14ac:dyDescent="0.2"/>
    <row r="311" ht="15" hidden="1" customHeight="1" x14ac:dyDescent="0.2"/>
    <row r="312" ht="15" hidden="1" customHeight="1" x14ac:dyDescent="0.2"/>
    <row r="313" ht="15" hidden="1" customHeight="1" x14ac:dyDescent="0.2"/>
    <row r="314" ht="15" hidden="1" customHeight="1" x14ac:dyDescent="0.2"/>
    <row r="315" ht="15" hidden="1" customHeight="1" x14ac:dyDescent="0.2"/>
    <row r="316" ht="15" hidden="1" customHeight="1" x14ac:dyDescent="0.2"/>
    <row r="317" ht="15" hidden="1" customHeight="1" x14ac:dyDescent="0.2"/>
    <row r="318" ht="15" hidden="1" customHeight="1" x14ac:dyDescent="0.2"/>
    <row r="319" ht="15" hidden="1" customHeight="1" x14ac:dyDescent="0.2"/>
    <row r="320" ht="15" hidden="1" customHeight="1" x14ac:dyDescent="0.2"/>
    <row r="321" ht="15" hidden="1" customHeight="1" x14ac:dyDescent="0.2"/>
    <row r="322" ht="15" hidden="1" customHeight="1" x14ac:dyDescent="0.2"/>
    <row r="323" ht="15" hidden="1" customHeight="1" x14ac:dyDescent="0.2"/>
    <row r="324" ht="15" hidden="1" customHeight="1" x14ac:dyDescent="0.2"/>
    <row r="325" ht="15" hidden="1" customHeight="1" x14ac:dyDescent="0.2"/>
    <row r="326" ht="15" hidden="1" customHeight="1" x14ac:dyDescent="0.2"/>
    <row r="327" ht="15" hidden="1" customHeight="1" x14ac:dyDescent="0.2"/>
    <row r="328" ht="15" hidden="1" customHeight="1" x14ac:dyDescent="0.2"/>
    <row r="329" ht="15" hidden="1" customHeight="1" x14ac:dyDescent="0.2"/>
    <row r="330" ht="15" hidden="1" customHeight="1" x14ac:dyDescent="0.2"/>
    <row r="331" ht="15" hidden="1" customHeight="1" x14ac:dyDescent="0.2"/>
    <row r="332" ht="15" hidden="1" customHeight="1" x14ac:dyDescent="0.2"/>
    <row r="333" ht="15" hidden="1" customHeight="1" x14ac:dyDescent="0.2"/>
    <row r="334" ht="15" hidden="1" customHeight="1" x14ac:dyDescent="0.2"/>
    <row r="335" ht="15" hidden="1" customHeight="1" x14ac:dyDescent="0.2"/>
    <row r="336" ht="15" hidden="1" customHeight="1" x14ac:dyDescent="0.2"/>
    <row r="337" ht="15" hidden="1" customHeight="1" x14ac:dyDescent="0.2"/>
    <row r="338" ht="15" hidden="1" customHeight="1" x14ac:dyDescent="0.2"/>
    <row r="339" ht="15" hidden="1" customHeight="1" x14ac:dyDescent="0.2"/>
    <row r="340" ht="15" hidden="1" customHeight="1" x14ac:dyDescent="0.2"/>
    <row r="341" ht="15" hidden="1" customHeight="1" x14ac:dyDescent="0.2"/>
    <row r="342" ht="15" hidden="1" customHeight="1" x14ac:dyDescent="0.2"/>
    <row r="343" ht="15" hidden="1" customHeight="1" x14ac:dyDescent="0.2"/>
    <row r="344" ht="15" hidden="1" customHeight="1" x14ac:dyDescent="0.2"/>
    <row r="345" ht="15" hidden="1" customHeight="1" x14ac:dyDescent="0.2"/>
    <row r="346" ht="15" hidden="1" customHeight="1" x14ac:dyDescent="0.2"/>
    <row r="347" ht="15" hidden="1" customHeight="1" x14ac:dyDescent="0.2"/>
    <row r="348" ht="15" hidden="1" customHeight="1" x14ac:dyDescent="0.2"/>
    <row r="349" ht="15" hidden="1" customHeight="1" x14ac:dyDescent="0.2"/>
    <row r="350" ht="15" hidden="1" customHeight="1" x14ac:dyDescent="0.2"/>
    <row r="351" ht="15" hidden="1" customHeight="1" x14ac:dyDescent="0.2"/>
    <row r="352" ht="15" hidden="1" customHeight="1" x14ac:dyDescent="0.2"/>
    <row r="353" ht="15" hidden="1" customHeight="1" x14ac:dyDescent="0.2"/>
    <row r="354" ht="15" hidden="1" customHeight="1" x14ac:dyDescent="0.2"/>
    <row r="355" ht="15" hidden="1" customHeight="1" x14ac:dyDescent="0.2"/>
    <row r="356" ht="15" hidden="1" customHeight="1" x14ac:dyDescent="0.2"/>
    <row r="357" ht="15" hidden="1" customHeight="1" x14ac:dyDescent="0.2"/>
    <row r="358" ht="15" hidden="1" customHeight="1" x14ac:dyDescent="0.2"/>
    <row r="359" ht="15" hidden="1" customHeight="1" x14ac:dyDescent="0.2"/>
    <row r="360" ht="15" hidden="1" customHeight="1" x14ac:dyDescent="0.2"/>
    <row r="361" ht="15" hidden="1" customHeight="1" x14ac:dyDescent="0.2"/>
    <row r="362" ht="15" hidden="1" customHeight="1" x14ac:dyDescent="0.2"/>
    <row r="363" ht="15" hidden="1" customHeight="1" x14ac:dyDescent="0.2"/>
    <row r="364" ht="15" hidden="1" customHeight="1" x14ac:dyDescent="0.2"/>
    <row r="365" ht="15" hidden="1" customHeight="1" x14ac:dyDescent="0.2"/>
    <row r="366" ht="15" hidden="1" customHeight="1" x14ac:dyDescent="0.2"/>
    <row r="367" ht="15" hidden="1" customHeight="1" x14ac:dyDescent="0.2"/>
    <row r="368" ht="15" hidden="1" customHeight="1" x14ac:dyDescent="0.2"/>
    <row r="369" ht="15" hidden="1" customHeight="1" x14ac:dyDescent="0.2"/>
    <row r="370" ht="15" hidden="1" customHeight="1" x14ac:dyDescent="0.2"/>
    <row r="371" ht="15" hidden="1" customHeight="1" x14ac:dyDescent="0.2"/>
    <row r="372" ht="15" hidden="1" customHeight="1" x14ac:dyDescent="0.2"/>
    <row r="373" ht="15" hidden="1" customHeight="1" x14ac:dyDescent="0.2"/>
    <row r="374" ht="15" hidden="1" customHeight="1" x14ac:dyDescent="0.2"/>
    <row r="375" ht="15" hidden="1" customHeight="1" x14ac:dyDescent="0.2"/>
    <row r="376" ht="15" hidden="1" customHeight="1" x14ac:dyDescent="0.2"/>
    <row r="377" ht="15" hidden="1" customHeight="1" x14ac:dyDescent="0.2"/>
    <row r="378" ht="15" hidden="1" customHeight="1" x14ac:dyDescent="0.2"/>
    <row r="379" ht="15" hidden="1" customHeight="1" x14ac:dyDescent="0.2"/>
    <row r="380" ht="15" hidden="1" customHeight="1" x14ac:dyDescent="0.2"/>
    <row r="381" ht="15" hidden="1" customHeight="1" x14ac:dyDescent="0.2"/>
    <row r="382" ht="15" hidden="1" customHeight="1" x14ac:dyDescent="0.2"/>
    <row r="383" ht="15" hidden="1" customHeight="1" x14ac:dyDescent="0.2"/>
    <row r="384" ht="15" hidden="1" customHeight="1" x14ac:dyDescent="0.2"/>
    <row r="385" ht="15" hidden="1" customHeight="1" x14ac:dyDescent="0.2"/>
    <row r="386" ht="15" hidden="1" customHeight="1" x14ac:dyDescent="0.2"/>
    <row r="387" ht="15" hidden="1" customHeight="1" x14ac:dyDescent="0.2"/>
    <row r="388" ht="15" hidden="1" customHeight="1" x14ac:dyDescent="0.2"/>
    <row r="389" ht="15" hidden="1" customHeight="1" x14ac:dyDescent="0.2"/>
    <row r="390" ht="15" hidden="1" customHeight="1" x14ac:dyDescent="0.2"/>
    <row r="391" ht="15" hidden="1" customHeight="1" x14ac:dyDescent="0.2"/>
    <row r="392" ht="15" hidden="1" customHeight="1" x14ac:dyDescent="0.2"/>
    <row r="393" ht="15" hidden="1" customHeight="1" x14ac:dyDescent="0.2"/>
    <row r="394" ht="15" hidden="1" customHeight="1" x14ac:dyDescent="0.2"/>
    <row r="395" ht="15" hidden="1" customHeight="1" x14ac:dyDescent="0.2"/>
    <row r="396" ht="15" hidden="1" customHeight="1" x14ac:dyDescent="0.2"/>
    <row r="397" ht="15" hidden="1" customHeight="1" x14ac:dyDescent="0.2"/>
    <row r="398" ht="15" hidden="1" customHeight="1" x14ac:dyDescent="0.2"/>
    <row r="399" ht="15" hidden="1" customHeight="1" x14ac:dyDescent="0.2"/>
    <row r="400" ht="15" hidden="1" customHeight="1" x14ac:dyDescent="0.2"/>
    <row r="401" ht="15" hidden="1" customHeight="1" x14ac:dyDescent="0.2"/>
    <row r="402" ht="15" hidden="1" customHeight="1" x14ac:dyDescent="0.2"/>
    <row r="403" ht="15" hidden="1" customHeight="1" x14ac:dyDescent="0.2"/>
    <row r="404" ht="15" hidden="1" customHeight="1" x14ac:dyDescent="0.2"/>
    <row r="405" ht="15" hidden="1" customHeight="1" x14ac:dyDescent="0.2"/>
    <row r="406" ht="15" hidden="1" customHeight="1" x14ac:dyDescent="0.2"/>
    <row r="407" ht="15" hidden="1" customHeight="1" x14ac:dyDescent="0.2"/>
    <row r="408" ht="15" hidden="1" customHeight="1" x14ac:dyDescent="0.2"/>
    <row r="409" ht="15" hidden="1" customHeight="1" x14ac:dyDescent="0.2"/>
    <row r="410" ht="15" hidden="1" customHeight="1" x14ac:dyDescent="0.2"/>
    <row r="411" ht="15" hidden="1" customHeight="1" x14ac:dyDescent="0.2"/>
    <row r="412" ht="15" hidden="1" customHeight="1" x14ac:dyDescent="0.2"/>
    <row r="413" ht="15" hidden="1" customHeight="1" x14ac:dyDescent="0.2"/>
    <row r="414" ht="15" hidden="1" customHeight="1" x14ac:dyDescent="0.2"/>
    <row r="415" ht="15" hidden="1" customHeight="1" x14ac:dyDescent="0.2"/>
    <row r="416" ht="15" hidden="1" customHeight="1" x14ac:dyDescent="0.2"/>
    <row r="417" ht="15" hidden="1" customHeight="1" x14ac:dyDescent="0.2"/>
    <row r="418" ht="15" hidden="1" customHeight="1" x14ac:dyDescent="0.2"/>
    <row r="419" ht="15" hidden="1" customHeight="1" x14ac:dyDescent="0.2"/>
    <row r="420" ht="15" hidden="1" customHeight="1" x14ac:dyDescent="0.2"/>
    <row r="421" ht="15" hidden="1" customHeight="1" x14ac:dyDescent="0.2"/>
    <row r="422" ht="15" hidden="1" customHeight="1" x14ac:dyDescent="0.2"/>
    <row r="423" ht="15" hidden="1" customHeight="1" x14ac:dyDescent="0.2"/>
    <row r="424" ht="15" hidden="1" customHeight="1" x14ac:dyDescent="0.2"/>
    <row r="425" ht="15" hidden="1" customHeight="1" x14ac:dyDescent="0.2"/>
    <row r="426" ht="15" hidden="1" customHeight="1" x14ac:dyDescent="0.2"/>
    <row r="427" ht="15" hidden="1" customHeight="1" x14ac:dyDescent="0.2"/>
    <row r="428" ht="15" hidden="1" customHeight="1" x14ac:dyDescent="0.2"/>
    <row r="429" ht="15" hidden="1" customHeight="1" x14ac:dyDescent="0.2"/>
    <row r="430" ht="15" hidden="1" customHeight="1" x14ac:dyDescent="0.2"/>
    <row r="431" ht="15" hidden="1" customHeight="1" x14ac:dyDescent="0.2"/>
    <row r="432" ht="15" hidden="1" customHeight="1" x14ac:dyDescent="0.2"/>
    <row r="433" ht="15" hidden="1" customHeight="1" x14ac:dyDescent="0.2"/>
    <row r="434" ht="15" hidden="1" customHeight="1" x14ac:dyDescent="0.2"/>
    <row r="435" ht="15" hidden="1" customHeight="1" x14ac:dyDescent="0.2"/>
    <row r="436" ht="15" hidden="1" customHeight="1" x14ac:dyDescent="0.2"/>
    <row r="437" ht="15" hidden="1" customHeight="1" x14ac:dyDescent="0.2"/>
    <row r="438" ht="15" hidden="1" customHeight="1" x14ac:dyDescent="0.2"/>
    <row r="439" ht="15" hidden="1" customHeight="1" x14ac:dyDescent="0.2"/>
    <row r="440" ht="15" hidden="1" customHeight="1" x14ac:dyDescent="0.2"/>
    <row r="441" ht="15" hidden="1" customHeight="1" x14ac:dyDescent="0.2"/>
    <row r="442" ht="15" hidden="1" customHeight="1" x14ac:dyDescent="0.2"/>
    <row r="443" ht="15" hidden="1" customHeight="1" x14ac:dyDescent="0.2"/>
    <row r="444" ht="15" hidden="1" customHeight="1" x14ac:dyDescent="0.2"/>
    <row r="445" ht="15" hidden="1" customHeight="1" x14ac:dyDescent="0.2"/>
    <row r="446" ht="15" hidden="1" customHeight="1" x14ac:dyDescent="0.2"/>
    <row r="447" ht="15" hidden="1" customHeight="1" x14ac:dyDescent="0.2"/>
    <row r="448" ht="15" hidden="1" customHeight="1" x14ac:dyDescent="0.2"/>
    <row r="449" ht="15" hidden="1" customHeight="1" x14ac:dyDescent="0.2"/>
    <row r="450" ht="15" hidden="1" customHeight="1" x14ac:dyDescent="0.2"/>
    <row r="451" ht="15" hidden="1" customHeight="1" x14ac:dyDescent="0.2"/>
    <row r="452" ht="15" hidden="1" customHeight="1" x14ac:dyDescent="0.2"/>
    <row r="453" ht="15" hidden="1" customHeight="1" x14ac:dyDescent="0.2"/>
    <row r="454" ht="15" hidden="1" customHeight="1" x14ac:dyDescent="0.2"/>
    <row r="455" ht="15" hidden="1" customHeight="1" x14ac:dyDescent="0.2"/>
    <row r="456" ht="15" hidden="1" customHeight="1" x14ac:dyDescent="0.2"/>
    <row r="457" ht="15" hidden="1" customHeight="1" x14ac:dyDescent="0.2"/>
    <row r="458" ht="15" hidden="1" customHeight="1" x14ac:dyDescent="0.2"/>
    <row r="459" ht="15" hidden="1" customHeight="1" x14ac:dyDescent="0.2"/>
    <row r="460" ht="15" hidden="1" customHeight="1" x14ac:dyDescent="0.2"/>
    <row r="461" ht="15" hidden="1" customHeight="1" x14ac:dyDescent="0.2"/>
    <row r="462" ht="15" hidden="1" customHeight="1" x14ac:dyDescent="0.2"/>
    <row r="463" ht="15" hidden="1" customHeight="1" x14ac:dyDescent="0.2"/>
    <row r="464" ht="15" hidden="1" customHeight="1" x14ac:dyDescent="0.2"/>
    <row r="465" ht="15" hidden="1" customHeight="1" x14ac:dyDescent="0.2"/>
    <row r="466" ht="15" hidden="1" customHeight="1" x14ac:dyDescent="0.2"/>
    <row r="467" ht="15" hidden="1" customHeight="1" x14ac:dyDescent="0.2"/>
    <row r="468" ht="15" hidden="1" customHeight="1" x14ac:dyDescent="0.2"/>
    <row r="469" ht="15" hidden="1" customHeight="1" x14ac:dyDescent="0.2"/>
    <row r="470" ht="15" hidden="1" customHeight="1" x14ac:dyDescent="0.2"/>
    <row r="471" ht="15" hidden="1" customHeight="1" x14ac:dyDescent="0.2"/>
    <row r="472" ht="15" hidden="1" customHeight="1" x14ac:dyDescent="0.2"/>
    <row r="473" ht="15" hidden="1" customHeight="1" x14ac:dyDescent="0.2"/>
    <row r="474" ht="15" hidden="1" customHeight="1" x14ac:dyDescent="0.2"/>
    <row r="475" ht="15" hidden="1" customHeight="1" x14ac:dyDescent="0.2"/>
    <row r="476" ht="15" hidden="1" customHeight="1" x14ac:dyDescent="0.2"/>
    <row r="477" ht="15" hidden="1" customHeight="1" x14ac:dyDescent="0.2"/>
    <row r="478" ht="15" hidden="1" customHeight="1" x14ac:dyDescent="0.2"/>
    <row r="479" ht="15" hidden="1" customHeight="1" x14ac:dyDescent="0.2"/>
    <row r="480" ht="15" hidden="1" customHeight="1" x14ac:dyDescent="0.2"/>
    <row r="481" ht="15" hidden="1" customHeight="1" x14ac:dyDescent="0.2"/>
    <row r="482" ht="15" hidden="1" customHeight="1" x14ac:dyDescent="0.2"/>
    <row r="483" ht="15" hidden="1" customHeight="1" x14ac:dyDescent="0.2"/>
    <row r="484" ht="15" hidden="1" customHeight="1" x14ac:dyDescent="0.2"/>
    <row r="485" ht="15" hidden="1" customHeight="1" x14ac:dyDescent="0.2"/>
    <row r="486" ht="15" hidden="1" customHeight="1" x14ac:dyDescent="0.2"/>
    <row r="487" ht="15" hidden="1" customHeight="1" x14ac:dyDescent="0.2"/>
    <row r="488" ht="15" hidden="1" customHeight="1" x14ac:dyDescent="0.2"/>
    <row r="489" ht="15" hidden="1" customHeight="1" x14ac:dyDescent="0.2"/>
    <row r="490" ht="15" hidden="1" customHeight="1" x14ac:dyDescent="0.2"/>
    <row r="491" ht="15" hidden="1" customHeight="1" x14ac:dyDescent="0.2"/>
    <row r="492" ht="15" hidden="1" customHeight="1" x14ac:dyDescent="0.2"/>
    <row r="493" ht="15" hidden="1" customHeight="1" x14ac:dyDescent="0.2"/>
    <row r="494" ht="15" hidden="1" customHeight="1" x14ac:dyDescent="0.2"/>
    <row r="495" ht="15" hidden="1" customHeight="1" x14ac:dyDescent="0.2"/>
    <row r="496" ht="15" hidden="1" customHeight="1" x14ac:dyDescent="0.2"/>
    <row r="497" ht="15" hidden="1" customHeight="1" x14ac:dyDescent="0.2"/>
    <row r="498" ht="15" hidden="1" customHeight="1" x14ac:dyDescent="0.2"/>
    <row r="499" ht="15" hidden="1" customHeight="1" x14ac:dyDescent="0.2"/>
    <row r="500" ht="15" hidden="1" customHeight="1" x14ac:dyDescent="0.2"/>
    <row r="501" ht="15" hidden="1" customHeight="1" x14ac:dyDescent="0.2"/>
    <row r="502" ht="15" hidden="1" customHeight="1" x14ac:dyDescent="0.2"/>
    <row r="503" ht="15" hidden="1" customHeight="1" x14ac:dyDescent="0.2"/>
    <row r="504" ht="15" hidden="1" customHeight="1" x14ac:dyDescent="0.2"/>
    <row r="505" ht="15" hidden="1" customHeight="1" x14ac:dyDescent="0.2"/>
    <row r="506" ht="15" hidden="1" customHeight="1" x14ac:dyDescent="0.2"/>
    <row r="507" ht="15" hidden="1" customHeight="1" x14ac:dyDescent="0.2"/>
    <row r="508" ht="15" hidden="1" customHeight="1" x14ac:dyDescent="0.2"/>
    <row r="509" ht="15" hidden="1" customHeight="1" x14ac:dyDescent="0.2"/>
    <row r="510" ht="15" hidden="1" customHeight="1" x14ac:dyDescent="0.2"/>
    <row r="511" ht="15" hidden="1" customHeight="1" x14ac:dyDescent="0.2"/>
    <row r="512" ht="15" hidden="1" customHeight="1" x14ac:dyDescent="0.2"/>
    <row r="513" ht="15" hidden="1" customHeight="1" x14ac:dyDescent="0.2"/>
    <row r="514" ht="15" hidden="1" customHeight="1" x14ac:dyDescent="0.2"/>
    <row r="515" ht="15" hidden="1" customHeight="1" x14ac:dyDescent="0.2"/>
    <row r="516" ht="15" hidden="1" customHeight="1" x14ac:dyDescent="0.2"/>
    <row r="517" ht="15" hidden="1" customHeight="1" x14ac:dyDescent="0.2"/>
    <row r="518" ht="15" hidden="1" customHeight="1" x14ac:dyDescent="0.2"/>
    <row r="519" ht="15" hidden="1" customHeight="1" x14ac:dyDescent="0.2"/>
    <row r="520" ht="15" hidden="1" customHeight="1" x14ac:dyDescent="0.2"/>
    <row r="521" ht="15" hidden="1" customHeight="1" x14ac:dyDescent="0.2"/>
    <row r="522" ht="15" hidden="1" customHeight="1" x14ac:dyDescent="0.2"/>
    <row r="523" ht="15" hidden="1" customHeight="1" x14ac:dyDescent="0.2"/>
    <row r="524" ht="15" hidden="1" customHeight="1" x14ac:dyDescent="0.2"/>
    <row r="525" ht="15" hidden="1" customHeight="1" x14ac:dyDescent="0.2"/>
    <row r="526" ht="15" hidden="1" customHeight="1" x14ac:dyDescent="0.2"/>
    <row r="527" ht="15" hidden="1" customHeight="1" x14ac:dyDescent="0.2"/>
    <row r="528" ht="15" hidden="1" customHeight="1" x14ac:dyDescent="0.2"/>
    <row r="529" ht="15" hidden="1" customHeight="1" x14ac:dyDescent="0.2"/>
    <row r="530" ht="15" hidden="1" customHeight="1" x14ac:dyDescent="0.2"/>
    <row r="531" ht="15" hidden="1" customHeight="1" x14ac:dyDescent="0.2"/>
    <row r="532" ht="15" hidden="1" customHeight="1" x14ac:dyDescent="0.2"/>
    <row r="533" ht="15" hidden="1" customHeight="1" x14ac:dyDescent="0.2"/>
    <row r="534" ht="15" hidden="1" customHeight="1" x14ac:dyDescent="0.2"/>
    <row r="535" ht="15" hidden="1" customHeight="1" x14ac:dyDescent="0.2"/>
    <row r="536" ht="15" hidden="1" customHeight="1" x14ac:dyDescent="0.2"/>
    <row r="537" ht="15" hidden="1" customHeight="1" x14ac:dyDescent="0.2"/>
    <row r="538" ht="15" hidden="1" customHeight="1" x14ac:dyDescent="0.2"/>
    <row r="539" ht="15" hidden="1" customHeight="1" x14ac:dyDescent="0.2"/>
    <row r="540" ht="15" hidden="1" customHeight="1" x14ac:dyDescent="0.2"/>
    <row r="541" ht="15" hidden="1" customHeight="1" x14ac:dyDescent="0.2"/>
    <row r="542" ht="15" hidden="1" customHeight="1" x14ac:dyDescent="0.2"/>
    <row r="543" ht="15" hidden="1" customHeight="1" x14ac:dyDescent="0.2"/>
    <row r="544" ht="15" hidden="1" customHeight="1" x14ac:dyDescent="0.2"/>
    <row r="545" ht="15" hidden="1" customHeight="1" x14ac:dyDescent="0.2"/>
    <row r="546" ht="15" hidden="1" customHeight="1" x14ac:dyDescent="0.2"/>
    <row r="547" ht="15" hidden="1" customHeight="1" x14ac:dyDescent="0.2"/>
    <row r="548" ht="15" hidden="1" customHeight="1" x14ac:dyDescent="0.2"/>
    <row r="549" ht="15" hidden="1" customHeight="1" x14ac:dyDescent="0.2"/>
    <row r="550" ht="15" hidden="1" customHeight="1" x14ac:dyDescent="0.2"/>
    <row r="551" ht="15" hidden="1" customHeight="1" x14ac:dyDescent="0.2"/>
    <row r="552" ht="15" hidden="1" customHeight="1" x14ac:dyDescent="0.2"/>
    <row r="553" ht="15" hidden="1" customHeight="1" x14ac:dyDescent="0.2"/>
    <row r="554" ht="15" hidden="1" customHeight="1" x14ac:dyDescent="0.2"/>
    <row r="555" ht="15" hidden="1" customHeight="1" x14ac:dyDescent="0.2"/>
    <row r="556" ht="15" hidden="1" customHeight="1" x14ac:dyDescent="0.2"/>
    <row r="557" ht="15" hidden="1" customHeight="1" x14ac:dyDescent="0.2"/>
    <row r="558" ht="15" hidden="1" customHeight="1" x14ac:dyDescent="0.2"/>
    <row r="559" ht="15" hidden="1" customHeight="1" x14ac:dyDescent="0.2"/>
    <row r="560" ht="15" hidden="1" customHeight="1" x14ac:dyDescent="0.2"/>
    <row r="561" ht="15" hidden="1" customHeight="1" x14ac:dyDescent="0.2"/>
    <row r="562" ht="15" hidden="1" customHeight="1" x14ac:dyDescent="0.2"/>
    <row r="563" ht="15" hidden="1" customHeight="1" x14ac:dyDescent="0.2"/>
    <row r="564" ht="15" hidden="1" customHeight="1" x14ac:dyDescent="0.2"/>
    <row r="565" ht="15" hidden="1" customHeight="1" x14ac:dyDescent="0.2"/>
    <row r="566" ht="15" hidden="1" customHeight="1" x14ac:dyDescent="0.2"/>
    <row r="567" ht="15" hidden="1" customHeight="1" x14ac:dyDescent="0.2"/>
    <row r="568" ht="15" hidden="1" customHeight="1" x14ac:dyDescent="0.2"/>
    <row r="569" ht="15" hidden="1" customHeight="1" x14ac:dyDescent="0.2"/>
    <row r="570" ht="15" hidden="1" customHeight="1" x14ac:dyDescent="0.2"/>
    <row r="571" ht="15" hidden="1" customHeight="1" x14ac:dyDescent="0.2"/>
    <row r="572" ht="15" hidden="1" customHeight="1" x14ac:dyDescent="0.2"/>
    <row r="573" ht="15" hidden="1" customHeight="1" x14ac:dyDescent="0.2"/>
    <row r="574" ht="15" hidden="1" customHeight="1" x14ac:dyDescent="0.2"/>
    <row r="575" ht="15" hidden="1" customHeight="1" x14ac:dyDescent="0.2"/>
    <row r="576" ht="15" hidden="1" customHeight="1" x14ac:dyDescent="0.2"/>
    <row r="577" ht="15" hidden="1" customHeight="1" x14ac:dyDescent="0.2"/>
    <row r="578" ht="15" hidden="1" customHeight="1" x14ac:dyDescent="0.2"/>
    <row r="579" ht="15" hidden="1" customHeight="1" x14ac:dyDescent="0.2"/>
    <row r="580" ht="15" hidden="1" customHeight="1" x14ac:dyDescent="0.2"/>
    <row r="581" ht="15" hidden="1" customHeight="1" x14ac:dyDescent="0.2"/>
    <row r="582" ht="15" hidden="1" customHeight="1" x14ac:dyDescent="0.2"/>
    <row r="583" ht="15" hidden="1" customHeight="1" x14ac:dyDescent="0.2"/>
    <row r="584" ht="15" hidden="1" customHeight="1" x14ac:dyDescent="0.2"/>
    <row r="585" ht="15" hidden="1" customHeight="1" x14ac:dyDescent="0.2"/>
    <row r="586" ht="15" hidden="1" customHeight="1" x14ac:dyDescent="0.2"/>
    <row r="587" ht="15" hidden="1" customHeight="1" x14ac:dyDescent="0.2"/>
    <row r="588" ht="15" hidden="1" customHeight="1" x14ac:dyDescent="0.2"/>
    <row r="589" ht="15" hidden="1" customHeight="1" x14ac:dyDescent="0.2"/>
    <row r="590" ht="15" hidden="1" customHeight="1" x14ac:dyDescent="0.2"/>
    <row r="591" ht="15" hidden="1" customHeight="1" x14ac:dyDescent="0.2"/>
    <row r="592" ht="15" hidden="1" customHeight="1" x14ac:dyDescent="0.2"/>
    <row r="593" ht="15" hidden="1" customHeight="1" x14ac:dyDescent="0.2"/>
    <row r="594" ht="15" hidden="1" customHeight="1" x14ac:dyDescent="0.2"/>
    <row r="595" ht="15" hidden="1" customHeight="1" x14ac:dyDescent="0.2"/>
    <row r="596" ht="15" hidden="1" customHeight="1" x14ac:dyDescent="0.2"/>
    <row r="597" ht="15" hidden="1" customHeight="1" x14ac:dyDescent="0.2"/>
    <row r="598" ht="15" hidden="1" customHeight="1" x14ac:dyDescent="0.2"/>
    <row r="599" ht="15" hidden="1" customHeight="1" x14ac:dyDescent="0.2"/>
    <row r="600" ht="15" hidden="1" customHeight="1" x14ac:dyDescent="0.2"/>
    <row r="601" ht="15" hidden="1" customHeight="1" x14ac:dyDescent="0.2"/>
    <row r="602" ht="15" hidden="1" customHeight="1" x14ac:dyDescent="0.2"/>
    <row r="603" ht="15" hidden="1" customHeight="1" x14ac:dyDescent="0.2"/>
    <row r="604" ht="15" hidden="1" customHeight="1" x14ac:dyDescent="0.2"/>
    <row r="605" ht="15" hidden="1" customHeight="1" x14ac:dyDescent="0.2"/>
    <row r="606" ht="15" hidden="1" customHeight="1" x14ac:dyDescent="0.2"/>
    <row r="607" ht="15" hidden="1" customHeight="1" x14ac:dyDescent="0.2"/>
    <row r="608" ht="15" hidden="1" customHeight="1" x14ac:dyDescent="0.2"/>
    <row r="609" ht="15" hidden="1" customHeight="1" x14ac:dyDescent="0.2"/>
    <row r="610" ht="15" hidden="1" customHeight="1" x14ac:dyDescent="0.2"/>
    <row r="611" ht="15" hidden="1" customHeight="1" x14ac:dyDescent="0.2"/>
    <row r="612" ht="15" hidden="1" customHeight="1" x14ac:dyDescent="0.2"/>
    <row r="613" ht="15" hidden="1" customHeight="1" x14ac:dyDescent="0.2"/>
    <row r="614" ht="15" hidden="1" customHeight="1" x14ac:dyDescent="0.2"/>
    <row r="615" ht="15" hidden="1" customHeight="1" x14ac:dyDescent="0.2"/>
    <row r="616" ht="15" hidden="1" customHeight="1" x14ac:dyDescent="0.2"/>
    <row r="617" ht="15" hidden="1" customHeight="1" x14ac:dyDescent="0.2"/>
    <row r="618" ht="15" hidden="1" customHeight="1" x14ac:dyDescent="0.2"/>
    <row r="619" ht="15" hidden="1" customHeight="1" x14ac:dyDescent="0.2"/>
    <row r="620" ht="15" hidden="1" customHeight="1" x14ac:dyDescent="0.2"/>
    <row r="621" ht="15" hidden="1" customHeight="1" x14ac:dyDescent="0.2"/>
    <row r="622" ht="15" hidden="1" customHeight="1" x14ac:dyDescent="0.2"/>
    <row r="623" ht="15" hidden="1" customHeight="1" x14ac:dyDescent="0.2"/>
    <row r="624" ht="15" hidden="1" customHeight="1" x14ac:dyDescent="0.2"/>
    <row r="625" ht="15" hidden="1" customHeight="1" x14ac:dyDescent="0.2"/>
    <row r="626" ht="15" hidden="1" customHeight="1" x14ac:dyDescent="0.2"/>
    <row r="627" ht="15" hidden="1" customHeight="1" x14ac:dyDescent="0.2"/>
    <row r="628" ht="15" hidden="1" customHeight="1" x14ac:dyDescent="0.2"/>
    <row r="629" ht="15" hidden="1" customHeight="1" x14ac:dyDescent="0.2"/>
    <row r="630" ht="15" hidden="1" customHeight="1" x14ac:dyDescent="0.2"/>
    <row r="631" ht="15" hidden="1" customHeight="1" x14ac:dyDescent="0.2"/>
    <row r="632" ht="15" hidden="1" customHeight="1" x14ac:dyDescent="0.2"/>
    <row r="633" ht="15" hidden="1" customHeight="1" x14ac:dyDescent="0.2"/>
    <row r="634" ht="15" hidden="1" customHeight="1" x14ac:dyDescent="0.2"/>
    <row r="635" ht="15" hidden="1" customHeight="1" x14ac:dyDescent="0.2"/>
    <row r="636" ht="15" hidden="1" customHeight="1" x14ac:dyDescent="0.2"/>
    <row r="637" ht="15" hidden="1" customHeight="1" x14ac:dyDescent="0.2"/>
    <row r="638" ht="15" hidden="1" customHeight="1" x14ac:dyDescent="0.2"/>
    <row r="639" ht="15" hidden="1" customHeight="1" x14ac:dyDescent="0.2"/>
    <row r="640" ht="15" hidden="1" customHeight="1" x14ac:dyDescent="0.2"/>
    <row r="641" ht="15" hidden="1" customHeight="1" x14ac:dyDescent="0.2"/>
    <row r="642" ht="15" hidden="1" customHeight="1" x14ac:dyDescent="0.2"/>
    <row r="643" ht="15" hidden="1" customHeight="1" x14ac:dyDescent="0.2"/>
    <row r="644" ht="15" hidden="1" customHeight="1" x14ac:dyDescent="0.2"/>
    <row r="645" ht="15" hidden="1" customHeight="1" x14ac:dyDescent="0.2"/>
    <row r="646" ht="15" hidden="1" customHeight="1" x14ac:dyDescent="0.2"/>
    <row r="647" ht="15" hidden="1" customHeight="1" x14ac:dyDescent="0.2"/>
    <row r="648" ht="15" hidden="1" customHeight="1" x14ac:dyDescent="0.2"/>
    <row r="649" ht="15" hidden="1" customHeight="1" x14ac:dyDescent="0.2"/>
    <row r="650" ht="15" hidden="1" customHeight="1" x14ac:dyDescent="0.2"/>
    <row r="651" ht="15" hidden="1" customHeight="1" x14ac:dyDescent="0.2"/>
    <row r="652" ht="15" hidden="1" customHeight="1" x14ac:dyDescent="0.2"/>
    <row r="653" ht="15" hidden="1" customHeight="1" x14ac:dyDescent="0.2"/>
    <row r="654" ht="15" hidden="1" customHeight="1" x14ac:dyDescent="0.2"/>
    <row r="655" ht="15" hidden="1" customHeight="1" x14ac:dyDescent="0.2"/>
    <row r="656" ht="15" hidden="1" customHeight="1" x14ac:dyDescent="0.2"/>
    <row r="657" ht="15" hidden="1" customHeight="1" x14ac:dyDescent="0.2"/>
    <row r="658" ht="15" hidden="1" customHeight="1" x14ac:dyDescent="0.2"/>
    <row r="659" ht="15" hidden="1" customHeight="1" x14ac:dyDescent="0.2"/>
    <row r="660" ht="15" hidden="1" customHeight="1" x14ac:dyDescent="0.2"/>
    <row r="661" ht="15" hidden="1" customHeight="1" x14ac:dyDescent="0.2"/>
    <row r="662" ht="15" hidden="1" customHeight="1" x14ac:dyDescent="0.2"/>
    <row r="663" ht="15" hidden="1" customHeight="1" x14ac:dyDescent="0.2"/>
    <row r="664" ht="15" hidden="1" customHeight="1" x14ac:dyDescent="0.2"/>
    <row r="665" ht="15" hidden="1" customHeight="1" x14ac:dyDescent="0.2"/>
    <row r="666" ht="15" hidden="1" customHeight="1" x14ac:dyDescent="0.2"/>
    <row r="667" ht="15" hidden="1" customHeight="1" x14ac:dyDescent="0.2"/>
    <row r="668" ht="15" hidden="1" customHeight="1" x14ac:dyDescent="0.2"/>
    <row r="669" ht="15" hidden="1" customHeight="1" x14ac:dyDescent="0.2"/>
    <row r="670" ht="15" hidden="1" customHeight="1" x14ac:dyDescent="0.2"/>
    <row r="671" ht="15" hidden="1" customHeight="1" x14ac:dyDescent="0.2"/>
    <row r="672" ht="15" hidden="1" customHeight="1" x14ac:dyDescent="0.2"/>
    <row r="673" ht="15" hidden="1" customHeight="1" x14ac:dyDescent="0.2"/>
    <row r="674" ht="15" hidden="1" customHeight="1" x14ac:dyDescent="0.2"/>
    <row r="675" ht="15" hidden="1" customHeight="1" x14ac:dyDescent="0.2"/>
    <row r="676" ht="15" hidden="1" customHeight="1" x14ac:dyDescent="0.2"/>
    <row r="677" ht="15" hidden="1" customHeight="1" x14ac:dyDescent="0.2"/>
    <row r="678" ht="15" hidden="1" customHeight="1" x14ac:dyDescent="0.2"/>
    <row r="679" ht="15" hidden="1" customHeight="1" x14ac:dyDescent="0.2"/>
    <row r="680" ht="15" hidden="1" customHeight="1" x14ac:dyDescent="0.2"/>
    <row r="681" ht="15" hidden="1" customHeight="1" x14ac:dyDescent="0.2"/>
    <row r="682" ht="15" hidden="1" customHeight="1" x14ac:dyDescent="0.2"/>
    <row r="683" ht="15" hidden="1" customHeight="1" x14ac:dyDescent="0.2"/>
    <row r="684" ht="15" hidden="1" customHeight="1" x14ac:dyDescent="0.2"/>
    <row r="685" ht="15" hidden="1" customHeight="1" x14ac:dyDescent="0.2"/>
    <row r="686" ht="15" hidden="1" customHeight="1" x14ac:dyDescent="0.2"/>
    <row r="687" ht="15" hidden="1" customHeight="1" x14ac:dyDescent="0.2"/>
    <row r="688" ht="15" hidden="1" customHeight="1" x14ac:dyDescent="0.2"/>
    <row r="689" ht="15" hidden="1" customHeight="1" x14ac:dyDescent="0.2"/>
    <row r="690" ht="15" hidden="1" customHeight="1" x14ac:dyDescent="0.2"/>
    <row r="691" ht="15" hidden="1" customHeight="1" x14ac:dyDescent="0.2"/>
    <row r="692" ht="15" hidden="1" customHeight="1" x14ac:dyDescent="0.2"/>
    <row r="693" ht="15" hidden="1" customHeight="1" x14ac:dyDescent="0.2"/>
    <row r="694" ht="15" hidden="1" customHeight="1" x14ac:dyDescent="0.2"/>
    <row r="695" ht="15" hidden="1" customHeight="1" x14ac:dyDescent="0.2"/>
    <row r="696" ht="15" hidden="1" customHeight="1" x14ac:dyDescent="0.2"/>
    <row r="697" ht="15" hidden="1" customHeight="1" x14ac:dyDescent="0.2"/>
    <row r="698" ht="15" hidden="1" customHeight="1" x14ac:dyDescent="0.2"/>
    <row r="699" ht="15" hidden="1" customHeight="1" x14ac:dyDescent="0.2"/>
    <row r="700" ht="15" hidden="1" customHeight="1" x14ac:dyDescent="0.2"/>
    <row r="701" ht="15" hidden="1" customHeight="1" x14ac:dyDescent="0.2"/>
    <row r="702" ht="15" hidden="1" customHeight="1" x14ac:dyDescent="0.2"/>
    <row r="703" ht="15" hidden="1" customHeight="1" x14ac:dyDescent="0.2"/>
    <row r="704" ht="15" hidden="1" customHeight="1" x14ac:dyDescent="0.2"/>
    <row r="705" ht="15" hidden="1" customHeight="1" x14ac:dyDescent="0.2"/>
    <row r="706" ht="15" hidden="1" customHeight="1" x14ac:dyDescent="0.2"/>
    <row r="707" ht="15" hidden="1" customHeight="1" x14ac:dyDescent="0.2"/>
    <row r="708" ht="15" hidden="1" customHeight="1" x14ac:dyDescent="0.2"/>
    <row r="709" ht="15" hidden="1" customHeight="1" x14ac:dyDescent="0.2"/>
    <row r="710" ht="15" hidden="1" customHeight="1" x14ac:dyDescent="0.2"/>
    <row r="711" ht="15" hidden="1" customHeight="1" x14ac:dyDescent="0.2"/>
    <row r="712" ht="15" hidden="1" customHeight="1" x14ac:dyDescent="0.2"/>
    <row r="713" ht="15" hidden="1" customHeight="1" x14ac:dyDescent="0.2"/>
    <row r="714" ht="15" hidden="1" customHeight="1" x14ac:dyDescent="0.2"/>
    <row r="715" ht="15" hidden="1" customHeight="1" x14ac:dyDescent="0.2"/>
    <row r="716" ht="15" hidden="1" customHeight="1" x14ac:dyDescent="0.2"/>
    <row r="717" ht="15" hidden="1" customHeight="1" x14ac:dyDescent="0.2"/>
    <row r="718" ht="15" hidden="1" customHeight="1" x14ac:dyDescent="0.2"/>
    <row r="719" ht="15" hidden="1" customHeight="1" x14ac:dyDescent="0.2"/>
    <row r="720" ht="15" hidden="1" customHeight="1" x14ac:dyDescent="0.2"/>
    <row r="721" ht="15" hidden="1" customHeight="1" x14ac:dyDescent="0.2"/>
    <row r="722" ht="15" hidden="1" customHeight="1" x14ac:dyDescent="0.2"/>
    <row r="723" ht="15" hidden="1" customHeight="1" x14ac:dyDescent="0.2"/>
    <row r="724" ht="15" hidden="1" customHeight="1" x14ac:dyDescent="0.2"/>
    <row r="725" ht="15" hidden="1" customHeight="1" x14ac:dyDescent="0.2"/>
    <row r="726" ht="15" hidden="1" customHeight="1" x14ac:dyDescent="0.2"/>
    <row r="727" ht="15" hidden="1" customHeight="1" x14ac:dyDescent="0.2"/>
    <row r="728" ht="15" hidden="1" customHeight="1" x14ac:dyDescent="0.2"/>
    <row r="729" ht="15" hidden="1" customHeight="1" x14ac:dyDescent="0.2"/>
    <row r="730" ht="15" hidden="1" customHeight="1" x14ac:dyDescent="0.2"/>
    <row r="731" ht="15" hidden="1" customHeight="1" x14ac:dyDescent="0.2"/>
    <row r="732" ht="15" hidden="1" customHeight="1" x14ac:dyDescent="0.2"/>
    <row r="733" ht="15" hidden="1" customHeight="1" x14ac:dyDescent="0.2"/>
    <row r="734" ht="15" hidden="1" customHeight="1" x14ac:dyDescent="0.2"/>
    <row r="735" ht="15" hidden="1" customHeight="1" x14ac:dyDescent="0.2"/>
    <row r="736" ht="15" hidden="1" customHeight="1" x14ac:dyDescent="0.2"/>
    <row r="737" ht="15" hidden="1" customHeight="1" x14ac:dyDescent="0.2"/>
    <row r="738" ht="15" hidden="1" customHeight="1" x14ac:dyDescent="0.2"/>
    <row r="739" ht="15" hidden="1" customHeight="1" x14ac:dyDescent="0.2"/>
    <row r="740" ht="15" hidden="1" customHeight="1" x14ac:dyDescent="0.2"/>
    <row r="741" ht="15" hidden="1" customHeight="1" x14ac:dyDescent="0.2"/>
    <row r="742" ht="15" hidden="1" customHeight="1" x14ac:dyDescent="0.2"/>
    <row r="743" ht="15" hidden="1" customHeight="1" x14ac:dyDescent="0.2"/>
    <row r="744" ht="15" hidden="1" customHeight="1" x14ac:dyDescent="0.2"/>
    <row r="745" ht="15" hidden="1" customHeight="1" x14ac:dyDescent="0.2"/>
    <row r="746" ht="15" hidden="1" customHeight="1" x14ac:dyDescent="0.2"/>
    <row r="747" ht="15" hidden="1" customHeight="1" x14ac:dyDescent="0.2"/>
    <row r="748" ht="15" hidden="1" customHeight="1" x14ac:dyDescent="0.2"/>
    <row r="749" ht="15" hidden="1" customHeight="1" x14ac:dyDescent="0.2"/>
    <row r="750" ht="15" hidden="1" customHeight="1" x14ac:dyDescent="0.2"/>
    <row r="751" ht="15" hidden="1" customHeight="1" x14ac:dyDescent="0.2"/>
    <row r="752" ht="15" hidden="1" customHeight="1" x14ac:dyDescent="0.2"/>
    <row r="753" ht="15" hidden="1" customHeight="1" x14ac:dyDescent="0.2"/>
    <row r="754" ht="15" hidden="1" customHeight="1" x14ac:dyDescent="0.2"/>
    <row r="755" ht="15" hidden="1" customHeight="1" x14ac:dyDescent="0.2"/>
    <row r="756" ht="15" hidden="1" customHeight="1" x14ac:dyDescent="0.2"/>
    <row r="757" ht="15" hidden="1" customHeight="1" x14ac:dyDescent="0.2"/>
    <row r="758" ht="15" hidden="1" customHeight="1" x14ac:dyDescent="0.2"/>
    <row r="759" ht="15" hidden="1" customHeight="1" x14ac:dyDescent="0.2"/>
    <row r="760" ht="15" hidden="1" customHeight="1" x14ac:dyDescent="0.2"/>
    <row r="761" ht="15" hidden="1" customHeight="1" x14ac:dyDescent="0.2"/>
    <row r="762" ht="15" hidden="1" customHeight="1" x14ac:dyDescent="0.2"/>
    <row r="763" ht="15" hidden="1" customHeight="1" x14ac:dyDescent="0.2"/>
    <row r="764" ht="15" hidden="1" customHeight="1" x14ac:dyDescent="0.2"/>
    <row r="765" ht="15" hidden="1" customHeight="1" x14ac:dyDescent="0.2"/>
    <row r="766" ht="15" hidden="1" customHeight="1" x14ac:dyDescent="0.2"/>
    <row r="767" ht="15" hidden="1" customHeight="1" x14ac:dyDescent="0.2"/>
    <row r="768" ht="15" hidden="1" customHeight="1" x14ac:dyDescent="0.2"/>
    <row r="769" ht="15" hidden="1" customHeight="1" x14ac:dyDescent="0.2"/>
    <row r="770" ht="15" hidden="1" customHeight="1" x14ac:dyDescent="0.2"/>
    <row r="771" ht="15" hidden="1" customHeight="1" x14ac:dyDescent="0.2"/>
    <row r="772" ht="15" hidden="1" customHeight="1" x14ac:dyDescent="0.2"/>
    <row r="773" ht="15" hidden="1" customHeight="1" x14ac:dyDescent="0.2"/>
    <row r="774" ht="15" hidden="1" customHeight="1" x14ac:dyDescent="0.2"/>
    <row r="775" ht="15" hidden="1" customHeight="1" x14ac:dyDescent="0.2"/>
    <row r="776" ht="15" hidden="1" customHeight="1" x14ac:dyDescent="0.2"/>
    <row r="777" ht="15" hidden="1" customHeight="1" x14ac:dyDescent="0.2"/>
    <row r="778" ht="15" hidden="1" customHeight="1" x14ac:dyDescent="0.2"/>
    <row r="779" ht="15" hidden="1" customHeight="1" x14ac:dyDescent="0.2"/>
    <row r="780" ht="15" hidden="1" customHeight="1" x14ac:dyDescent="0.2"/>
    <row r="781" ht="15" hidden="1" customHeight="1" x14ac:dyDescent="0.2"/>
    <row r="782" ht="15" hidden="1" customHeight="1" x14ac:dyDescent="0.2"/>
    <row r="783" ht="15" hidden="1" customHeight="1" x14ac:dyDescent="0.2"/>
    <row r="784" ht="15" hidden="1" customHeight="1" x14ac:dyDescent="0.2"/>
    <row r="785" ht="15" hidden="1" customHeight="1" x14ac:dyDescent="0.2"/>
    <row r="786" ht="15" hidden="1" customHeight="1" x14ac:dyDescent="0.2"/>
    <row r="787" ht="15" hidden="1" customHeight="1" x14ac:dyDescent="0.2"/>
    <row r="788" ht="15" hidden="1" customHeight="1" x14ac:dyDescent="0.2"/>
    <row r="789" ht="15" hidden="1" customHeight="1" x14ac:dyDescent="0.2"/>
    <row r="790" ht="15" hidden="1" customHeight="1" x14ac:dyDescent="0.2"/>
    <row r="791" ht="15" hidden="1" customHeight="1" x14ac:dyDescent="0.2"/>
    <row r="792" ht="15" hidden="1" customHeight="1" x14ac:dyDescent="0.2"/>
    <row r="793" ht="15" hidden="1" customHeight="1" x14ac:dyDescent="0.2"/>
    <row r="794" ht="15" hidden="1" customHeight="1" x14ac:dyDescent="0.2"/>
    <row r="795" ht="15" hidden="1" customHeight="1" x14ac:dyDescent="0.2"/>
    <row r="796" ht="15" hidden="1" customHeight="1" x14ac:dyDescent="0.2"/>
    <row r="797" ht="15" hidden="1" customHeight="1" x14ac:dyDescent="0.2"/>
    <row r="798" ht="15" hidden="1" customHeight="1" x14ac:dyDescent="0.2"/>
    <row r="799" ht="15" hidden="1" customHeight="1" x14ac:dyDescent="0.2"/>
    <row r="800" ht="15" hidden="1" customHeight="1" x14ac:dyDescent="0.2"/>
    <row r="801" ht="15" hidden="1" customHeight="1" x14ac:dyDescent="0.2"/>
    <row r="802" ht="15" hidden="1" customHeight="1" x14ac:dyDescent="0.2"/>
    <row r="803" ht="15" hidden="1" customHeight="1" x14ac:dyDescent="0.2"/>
    <row r="804" ht="15" hidden="1" customHeight="1" x14ac:dyDescent="0.2"/>
    <row r="805" ht="15" hidden="1" customHeight="1" x14ac:dyDescent="0.2"/>
    <row r="806" ht="15" hidden="1" customHeight="1" x14ac:dyDescent="0.2"/>
    <row r="807" ht="15" hidden="1" customHeight="1" x14ac:dyDescent="0.2"/>
    <row r="808" ht="15" hidden="1" customHeight="1" x14ac:dyDescent="0.2"/>
    <row r="809" ht="15" hidden="1" customHeight="1" x14ac:dyDescent="0.2"/>
    <row r="810" ht="15" hidden="1" customHeight="1" x14ac:dyDescent="0.2"/>
    <row r="811" ht="15" hidden="1" customHeight="1" x14ac:dyDescent="0.2"/>
    <row r="812" ht="15" hidden="1" customHeight="1" x14ac:dyDescent="0.2"/>
    <row r="813" ht="15" hidden="1" customHeight="1" x14ac:dyDescent="0.2"/>
    <row r="814" ht="15" hidden="1" customHeight="1" x14ac:dyDescent="0.2"/>
    <row r="815" ht="15" hidden="1" customHeight="1" x14ac:dyDescent="0.2"/>
    <row r="816" ht="15" hidden="1" customHeight="1" x14ac:dyDescent="0.2"/>
    <row r="817" ht="15" hidden="1" customHeight="1" x14ac:dyDescent="0.2"/>
    <row r="818" ht="15" hidden="1" customHeight="1" x14ac:dyDescent="0.2"/>
    <row r="819" ht="15" hidden="1" customHeight="1" x14ac:dyDescent="0.2"/>
    <row r="820" ht="15" hidden="1" customHeight="1" x14ac:dyDescent="0.2"/>
    <row r="821" ht="15" hidden="1" customHeight="1" x14ac:dyDescent="0.2"/>
    <row r="822" ht="15" hidden="1" customHeight="1" x14ac:dyDescent="0.2"/>
    <row r="823" ht="15" hidden="1" customHeight="1" x14ac:dyDescent="0.2"/>
    <row r="824" ht="15" hidden="1" customHeight="1" x14ac:dyDescent="0.2"/>
    <row r="825" ht="15" hidden="1" customHeight="1" x14ac:dyDescent="0.2"/>
    <row r="826" ht="15" hidden="1" customHeight="1" x14ac:dyDescent="0.2"/>
    <row r="827" ht="15" hidden="1" customHeight="1" x14ac:dyDescent="0.2"/>
    <row r="828" ht="15" hidden="1" customHeight="1" x14ac:dyDescent="0.2"/>
    <row r="829" ht="15" hidden="1" customHeight="1" x14ac:dyDescent="0.2"/>
    <row r="830" ht="15" hidden="1" customHeight="1" x14ac:dyDescent="0.2"/>
    <row r="831" ht="15" hidden="1" customHeight="1" x14ac:dyDescent="0.2"/>
    <row r="832" ht="15" hidden="1" customHeight="1" x14ac:dyDescent="0.2"/>
    <row r="833" ht="15" hidden="1" customHeight="1" x14ac:dyDescent="0.2"/>
    <row r="834" ht="15" hidden="1" customHeight="1" x14ac:dyDescent="0.2"/>
    <row r="835" ht="15" hidden="1" customHeight="1" x14ac:dyDescent="0.2"/>
    <row r="836" ht="15" hidden="1" customHeight="1" x14ac:dyDescent="0.2"/>
    <row r="837" ht="15" hidden="1" customHeight="1" x14ac:dyDescent="0.2"/>
    <row r="838" ht="15" hidden="1" customHeight="1" x14ac:dyDescent="0.2"/>
    <row r="839" ht="15" hidden="1" customHeight="1" x14ac:dyDescent="0.2"/>
    <row r="840" ht="15" hidden="1" customHeight="1" x14ac:dyDescent="0.2"/>
    <row r="841" ht="15" hidden="1" customHeight="1" x14ac:dyDescent="0.2"/>
    <row r="842" ht="15" hidden="1" customHeight="1" x14ac:dyDescent="0.2"/>
    <row r="843" ht="15" hidden="1" customHeight="1" x14ac:dyDescent="0.2"/>
    <row r="844" ht="15" hidden="1" customHeight="1" x14ac:dyDescent="0.2"/>
    <row r="845" ht="15" hidden="1" customHeight="1" x14ac:dyDescent="0.2"/>
    <row r="846" ht="15" hidden="1" customHeight="1" x14ac:dyDescent="0.2"/>
    <row r="847" ht="15" hidden="1" customHeight="1" x14ac:dyDescent="0.2"/>
    <row r="848" ht="15" hidden="1" customHeight="1" x14ac:dyDescent="0.2"/>
    <row r="849" ht="15" hidden="1" customHeight="1" x14ac:dyDescent="0.2"/>
    <row r="850" ht="15" hidden="1" customHeight="1" x14ac:dyDescent="0.2"/>
    <row r="851" ht="15" hidden="1" customHeight="1" x14ac:dyDescent="0.2"/>
    <row r="852" ht="15" hidden="1" customHeight="1" x14ac:dyDescent="0.2"/>
    <row r="853" ht="15" hidden="1" customHeight="1" x14ac:dyDescent="0.2"/>
    <row r="854" ht="15" hidden="1" customHeight="1" x14ac:dyDescent="0.2"/>
    <row r="855" ht="15" hidden="1" customHeight="1" x14ac:dyDescent="0.2"/>
    <row r="856" ht="15" hidden="1" customHeight="1" x14ac:dyDescent="0.2"/>
    <row r="857" ht="15" hidden="1" customHeight="1" x14ac:dyDescent="0.2"/>
    <row r="858" ht="15" hidden="1" customHeight="1" x14ac:dyDescent="0.2"/>
    <row r="859" ht="15" hidden="1" customHeight="1" x14ac:dyDescent="0.2"/>
    <row r="860" ht="15" hidden="1" customHeight="1" x14ac:dyDescent="0.2"/>
    <row r="861" ht="15" hidden="1" customHeight="1" x14ac:dyDescent="0.2"/>
    <row r="862" ht="15" hidden="1" customHeight="1" x14ac:dyDescent="0.2"/>
    <row r="863" ht="15" hidden="1" customHeight="1" x14ac:dyDescent="0.2"/>
    <row r="864" ht="15" hidden="1" customHeight="1" x14ac:dyDescent="0.2"/>
    <row r="865" ht="15" hidden="1" customHeight="1" x14ac:dyDescent="0.2"/>
    <row r="866" ht="15" hidden="1" customHeight="1" x14ac:dyDescent="0.2"/>
    <row r="867" ht="15" hidden="1" customHeight="1" x14ac:dyDescent="0.2"/>
    <row r="868" ht="15" hidden="1" customHeight="1" x14ac:dyDescent="0.2"/>
    <row r="869" ht="15" hidden="1" customHeight="1" x14ac:dyDescent="0.2"/>
    <row r="870" ht="15" hidden="1" customHeight="1" x14ac:dyDescent="0.2"/>
    <row r="871" ht="15" hidden="1" customHeight="1" x14ac:dyDescent="0.2"/>
    <row r="872" ht="15" hidden="1" customHeight="1" x14ac:dyDescent="0.2"/>
    <row r="873" ht="15" hidden="1" customHeight="1" x14ac:dyDescent="0.2"/>
    <row r="874" ht="15" hidden="1" customHeight="1" x14ac:dyDescent="0.2"/>
    <row r="875" ht="15" hidden="1" customHeight="1" x14ac:dyDescent="0.2"/>
    <row r="876" ht="15" hidden="1" customHeight="1" x14ac:dyDescent="0.2"/>
    <row r="877" ht="15" hidden="1" customHeight="1" x14ac:dyDescent="0.2"/>
    <row r="878" ht="15" hidden="1" customHeight="1" x14ac:dyDescent="0.2"/>
    <row r="879" ht="15" hidden="1" customHeight="1" x14ac:dyDescent="0.2"/>
    <row r="880" ht="15" hidden="1" customHeight="1" x14ac:dyDescent="0.2"/>
    <row r="881" ht="15" hidden="1" customHeight="1" x14ac:dyDescent="0.2"/>
    <row r="882" ht="15" hidden="1" customHeight="1" x14ac:dyDescent="0.2"/>
    <row r="883" ht="15" hidden="1" customHeight="1" x14ac:dyDescent="0.2"/>
    <row r="884" ht="15" hidden="1" customHeight="1" x14ac:dyDescent="0.2"/>
    <row r="885" ht="15" hidden="1" customHeight="1" x14ac:dyDescent="0.2"/>
    <row r="886" ht="15" hidden="1" customHeight="1" x14ac:dyDescent="0.2"/>
    <row r="887" ht="15" hidden="1" customHeight="1" x14ac:dyDescent="0.2"/>
    <row r="888" ht="15" hidden="1" customHeight="1" x14ac:dyDescent="0.2"/>
    <row r="889" ht="15" hidden="1" customHeight="1" x14ac:dyDescent="0.2"/>
    <row r="890" ht="15" hidden="1" customHeight="1" x14ac:dyDescent="0.2"/>
    <row r="891" ht="15" hidden="1" customHeight="1" x14ac:dyDescent="0.2"/>
    <row r="892" ht="15" hidden="1" customHeight="1" x14ac:dyDescent="0.2"/>
    <row r="893" ht="15" hidden="1" customHeight="1" x14ac:dyDescent="0.2"/>
    <row r="894" ht="15" hidden="1" customHeight="1" x14ac:dyDescent="0.2"/>
    <row r="895" ht="15" hidden="1" customHeight="1" x14ac:dyDescent="0.2"/>
    <row r="896" ht="15" hidden="1" customHeight="1" x14ac:dyDescent="0.2"/>
    <row r="897" ht="15" hidden="1" customHeight="1" x14ac:dyDescent="0.2"/>
    <row r="898" ht="15" hidden="1" customHeight="1" x14ac:dyDescent="0.2"/>
    <row r="899" ht="15" hidden="1" customHeight="1" x14ac:dyDescent="0.2"/>
    <row r="900" ht="15" hidden="1" customHeight="1" x14ac:dyDescent="0.2"/>
    <row r="901" ht="15" hidden="1" customHeight="1" x14ac:dyDescent="0.2"/>
    <row r="902" ht="15" hidden="1" customHeight="1" x14ac:dyDescent="0.2"/>
    <row r="903" ht="15" hidden="1" customHeight="1" x14ac:dyDescent="0.2"/>
    <row r="904" ht="15" hidden="1" customHeight="1" x14ac:dyDescent="0.2"/>
    <row r="905" ht="15" hidden="1" customHeight="1" x14ac:dyDescent="0.2"/>
    <row r="906" ht="15" hidden="1" customHeight="1" x14ac:dyDescent="0.2"/>
    <row r="907" ht="15" hidden="1" customHeight="1" x14ac:dyDescent="0.2"/>
    <row r="908" ht="15" hidden="1" customHeight="1" x14ac:dyDescent="0.2"/>
    <row r="909" ht="15" hidden="1" customHeight="1" x14ac:dyDescent="0.2"/>
    <row r="910" ht="15" hidden="1" customHeight="1" x14ac:dyDescent="0.2"/>
    <row r="911" ht="15" hidden="1" customHeight="1" x14ac:dyDescent="0.2"/>
    <row r="912" ht="15" hidden="1" customHeight="1" x14ac:dyDescent="0.2"/>
    <row r="913" ht="15" hidden="1" customHeight="1" x14ac:dyDescent="0.2"/>
    <row r="914" ht="15" hidden="1" customHeight="1" x14ac:dyDescent="0.2"/>
    <row r="915" ht="15" hidden="1" customHeight="1" x14ac:dyDescent="0.2"/>
    <row r="916" ht="15" hidden="1" customHeight="1" x14ac:dyDescent="0.2"/>
    <row r="917" ht="15" hidden="1" customHeight="1" x14ac:dyDescent="0.2"/>
    <row r="918" ht="15" hidden="1" customHeight="1" x14ac:dyDescent="0.2"/>
    <row r="919" ht="15" hidden="1" customHeight="1" x14ac:dyDescent="0.2"/>
    <row r="920" ht="15" hidden="1" customHeight="1" x14ac:dyDescent="0.2"/>
    <row r="921" ht="15" hidden="1" customHeight="1" x14ac:dyDescent="0.2"/>
    <row r="922" ht="15" hidden="1" customHeight="1" x14ac:dyDescent="0.2"/>
    <row r="923" ht="15" hidden="1" customHeight="1" x14ac:dyDescent="0.2"/>
    <row r="924" ht="15" hidden="1" customHeight="1" x14ac:dyDescent="0.2"/>
    <row r="925" ht="15" hidden="1" customHeight="1" x14ac:dyDescent="0.2"/>
    <row r="926" ht="15" hidden="1" customHeight="1" x14ac:dyDescent="0.2"/>
    <row r="927" ht="15" hidden="1" customHeight="1" x14ac:dyDescent="0.2"/>
    <row r="928" ht="15" hidden="1" customHeight="1" x14ac:dyDescent="0.2"/>
    <row r="929" ht="15" hidden="1" customHeight="1" x14ac:dyDescent="0.2"/>
    <row r="930" ht="15" hidden="1" customHeight="1" x14ac:dyDescent="0.2"/>
    <row r="931" ht="15" hidden="1" customHeight="1" x14ac:dyDescent="0.2"/>
    <row r="932" ht="15" hidden="1" customHeight="1" x14ac:dyDescent="0.2"/>
    <row r="933" ht="15" hidden="1" customHeight="1" x14ac:dyDescent="0.2"/>
    <row r="934" ht="15" hidden="1" customHeight="1" x14ac:dyDescent="0.2"/>
    <row r="935" ht="15" hidden="1" customHeight="1" x14ac:dyDescent="0.2"/>
    <row r="936" ht="15" hidden="1" customHeight="1" x14ac:dyDescent="0.2"/>
    <row r="937" ht="15" hidden="1" customHeight="1" x14ac:dyDescent="0.2"/>
    <row r="938" ht="15" hidden="1" customHeight="1" x14ac:dyDescent="0.2"/>
    <row r="939" ht="15" hidden="1" customHeight="1" x14ac:dyDescent="0.2"/>
    <row r="940" ht="15" hidden="1" customHeight="1" x14ac:dyDescent="0.2"/>
    <row r="941" ht="15" hidden="1" customHeight="1" x14ac:dyDescent="0.2"/>
    <row r="942" ht="15" hidden="1" customHeight="1" x14ac:dyDescent="0.2"/>
    <row r="943" ht="15" hidden="1" customHeight="1" x14ac:dyDescent="0.2"/>
    <row r="944" ht="15" hidden="1" customHeight="1" x14ac:dyDescent="0.2"/>
    <row r="945" ht="15" hidden="1" customHeight="1" x14ac:dyDescent="0.2"/>
    <row r="946" ht="15" hidden="1" customHeight="1" x14ac:dyDescent="0.2"/>
    <row r="947" ht="15" hidden="1" customHeight="1" x14ac:dyDescent="0.2"/>
    <row r="948" ht="15" hidden="1" customHeight="1" x14ac:dyDescent="0.2"/>
    <row r="949" ht="15" hidden="1" customHeight="1" x14ac:dyDescent="0.2"/>
    <row r="950" ht="15" hidden="1" customHeight="1" x14ac:dyDescent="0.2"/>
    <row r="951" ht="15" hidden="1" customHeight="1" x14ac:dyDescent="0.2"/>
    <row r="952" ht="15" hidden="1" customHeight="1" x14ac:dyDescent="0.2"/>
    <row r="953" ht="15" hidden="1" customHeight="1" x14ac:dyDescent="0.2"/>
    <row r="954" ht="15" hidden="1" customHeight="1" x14ac:dyDescent="0.2"/>
    <row r="955" ht="15" hidden="1" customHeight="1" x14ac:dyDescent="0.2"/>
    <row r="956" ht="15" hidden="1" customHeight="1" x14ac:dyDescent="0.2"/>
    <row r="957" ht="15" hidden="1" customHeight="1" x14ac:dyDescent="0.2"/>
    <row r="958" ht="15" hidden="1" customHeight="1" x14ac:dyDescent="0.2"/>
    <row r="959" ht="15" hidden="1" customHeight="1" x14ac:dyDescent="0.2"/>
    <row r="960" ht="15" hidden="1" customHeight="1" x14ac:dyDescent="0.2"/>
    <row r="961" ht="15" hidden="1" customHeight="1" x14ac:dyDescent="0.2"/>
    <row r="962" ht="15" hidden="1" customHeight="1" x14ac:dyDescent="0.2"/>
    <row r="963" ht="15" hidden="1" customHeight="1" x14ac:dyDescent="0.2"/>
    <row r="964" ht="15" hidden="1" customHeight="1" x14ac:dyDescent="0.2"/>
    <row r="965" ht="15" hidden="1" customHeight="1" x14ac:dyDescent="0.2"/>
    <row r="966" ht="15" hidden="1" customHeight="1" x14ac:dyDescent="0.2"/>
    <row r="967" ht="15" hidden="1" customHeight="1" x14ac:dyDescent="0.2"/>
    <row r="968" ht="15" hidden="1" customHeight="1" x14ac:dyDescent="0.2"/>
    <row r="969" ht="15" hidden="1" customHeight="1" x14ac:dyDescent="0.2"/>
    <row r="970" ht="15" hidden="1" customHeight="1" x14ac:dyDescent="0.2"/>
    <row r="971" ht="15" hidden="1" customHeight="1" x14ac:dyDescent="0.2"/>
    <row r="972" ht="15" hidden="1" customHeight="1" x14ac:dyDescent="0.2"/>
    <row r="973" ht="15" hidden="1" customHeight="1" x14ac:dyDescent="0.2"/>
    <row r="974" ht="15" hidden="1" customHeight="1" x14ac:dyDescent="0.2"/>
    <row r="975" ht="15" hidden="1" customHeight="1" x14ac:dyDescent="0.2"/>
    <row r="976" ht="15" hidden="1" customHeight="1" x14ac:dyDescent="0.2"/>
    <row r="977" ht="15" hidden="1" customHeight="1" x14ac:dyDescent="0.2"/>
    <row r="978" ht="15" hidden="1" customHeight="1" x14ac:dyDescent="0.2"/>
    <row r="979" ht="15" hidden="1" customHeight="1" x14ac:dyDescent="0.2"/>
    <row r="980" ht="15" hidden="1" customHeight="1" x14ac:dyDescent="0.2"/>
    <row r="981" ht="15" hidden="1" customHeight="1" x14ac:dyDescent="0.2"/>
    <row r="982" ht="15" hidden="1" customHeight="1" x14ac:dyDescent="0.2"/>
    <row r="983" ht="15" hidden="1" customHeight="1" x14ac:dyDescent="0.2"/>
    <row r="984" ht="15" hidden="1" customHeight="1" x14ac:dyDescent="0.2"/>
    <row r="985" ht="15" hidden="1" customHeight="1" x14ac:dyDescent="0.2"/>
    <row r="986" ht="15" hidden="1" customHeight="1" x14ac:dyDescent="0.2"/>
    <row r="987" ht="15" hidden="1" customHeight="1" x14ac:dyDescent="0.2"/>
    <row r="988" ht="15" hidden="1" customHeight="1" x14ac:dyDescent="0.2"/>
    <row r="989" ht="15" hidden="1" customHeight="1" x14ac:dyDescent="0.2"/>
    <row r="990" ht="15" hidden="1" customHeight="1" x14ac:dyDescent="0.2"/>
    <row r="991" ht="15" hidden="1" customHeight="1" x14ac:dyDescent="0.2"/>
    <row r="992" ht="15" hidden="1" customHeight="1" x14ac:dyDescent="0.2"/>
    <row r="993" ht="15" hidden="1" customHeight="1" x14ac:dyDescent="0.2"/>
    <row r="994" ht="15" hidden="1" customHeight="1" x14ac:dyDescent="0.2"/>
    <row r="995" ht="15" hidden="1" customHeight="1" x14ac:dyDescent="0.2"/>
    <row r="996" ht="15" hidden="1" customHeight="1" x14ac:dyDescent="0.2"/>
    <row r="997" ht="15" hidden="1" customHeight="1" x14ac:dyDescent="0.2"/>
    <row r="998" ht="15" hidden="1" customHeight="1" x14ac:dyDescent="0.2"/>
    <row r="999" ht="15" hidden="1" customHeight="1" x14ac:dyDescent="0.2"/>
    <row r="1000" ht="15" hidden="1" customHeight="1" x14ac:dyDescent="0.2"/>
  </sheetData>
  <sheetProtection algorithmName="SHA-512" hashValue="1DwLHZa08rYlEUnFAAPVCxv7tDuxQeWxjnuFtXqklOUzG2JcX9rMRDi55pusSyg1HVayHjHE80yIdBslDFYRHA==" saltValue="JTawG8S75ZvpPe5qUrk7iw==" spinCount="100000" sheet="1" objects="1" scenarios="1"/>
  <mergeCells count="9">
    <mergeCell ref="A15:F15"/>
    <mergeCell ref="H7:H8"/>
    <mergeCell ref="H9:H10"/>
    <mergeCell ref="I9:I10"/>
    <mergeCell ref="H3:H4"/>
    <mergeCell ref="I3:I4"/>
    <mergeCell ref="H5:H6"/>
    <mergeCell ref="I5:I6"/>
    <mergeCell ref="I7:I8"/>
  </mergeCells>
  <hyperlinks>
    <hyperlink ref="E4" r:id="rId1" display="Variação Dx*"/>
    <hyperlink ref="E5" r:id="rId2" display="Taxa DI*"/>
    <hyperlink ref="E6" r:id="rId3" display="Dólar Comercial*"/>
  </hyperlinks>
  <pageMargins left="0.7" right="0.7" top="0.75" bottom="0.75" header="0" footer="0"/>
  <pageSetup paperSize="9" orientation="portrait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Aber.Dollar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Bezerra Neto</dc:creator>
  <cp:lastModifiedBy>deitos</cp:lastModifiedBy>
  <dcterms:created xsi:type="dcterms:W3CDTF">2015-06-05T18:19:34Z</dcterms:created>
  <dcterms:modified xsi:type="dcterms:W3CDTF">2026-04-20T14:11:02Z</dcterms:modified>
</cp:coreProperties>
</file>