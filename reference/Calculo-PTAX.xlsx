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Mercado Financeiro\"/>
    </mc:Choice>
  </mc:AlternateContent>
  <bookViews>
    <workbookView xWindow="0" yWindow="0" windowWidth="23040" windowHeight="8940" activeTab="2"/>
  </bookViews>
  <sheets>
    <sheet name="ESTUDO_PTAX" sheetId="1" r:id="rId1"/>
    <sheet name="Planilha1" sheetId="3" r:id="rId2"/>
    <sheet name="Abertura Dólar" sheetId="2" r:id="rId3"/>
    <sheet name="Planilha2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F6" i="1"/>
  <c r="G6" i="1" s="1"/>
  <c r="H6" i="1" s="1"/>
  <c r="I6" i="1" s="1"/>
  <c r="D7" i="1"/>
  <c r="G7" i="1"/>
  <c r="H7" i="1" s="1"/>
  <c r="I7" i="1" s="1"/>
  <c r="V9" i="1"/>
  <c r="C14" i="1"/>
  <c r="H24" i="2"/>
  <c r="I23" i="2"/>
  <c r="H23" i="2"/>
  <c r="B17" i="2"/>
  <c r="C16" i="1"/>
  <c r="K2" i="1"/>
  <c r="J23" i="2"/>
  <c r="I21" i="2"/>
  <c r="H21" i="2"/>
  <c r="I24" i="2"/>
  <c r="F18" i="1"/>
  <c r="J21" i="2"/>
  <c r="F3" i="2"/>
  <c r="J24" i="2"/>
  <c r="I22" i="2"/>
  <c r="J22" i="2"/>
  <c r="H22" i="2"/>
  <c r="C3" i="2" l="1"/>
  <c r="C10" i="1"/>
  <c r="C4" i="2"/>
  <c r="F8" i="2" s="1"/>
  <c r="C5" i="2" s="1"/>
  <c r="C18" i="1" s="1"/>
  <c r="D8" i="1"/>
  <c r="H8" i="1"/>
  <c r="I8" i="1" s="1"/>
  <c r="G10" i="1"/>
  <c r="E10" i="1"/>
  <c r="F10" i="1"/>
  <c r="H10" i="1"/>
  <c r="E6" i="1"/>
  <c r="F7" i="1" s="1"/>
  <c r="G8" i="1" s="1"/>
  <c r="H9" i="1" s="1"/>
  <c r="K10" i="2" l="1"/>
  <c r="K6" i="2"/>
  <c r="C7" i="2"/>
  <c r="K3" i="2"/>
  <c r="K5" i="2"/>
  <c r="K9" i="2"/>
  <c r="C6" i="2"/>
  <c r="K4" i="2"/>
  <c r="K7" i="2"/>
  <c r="K8" i="2"/>
  <c r="D9" i="1"/>
  <c r="I9" i="1"/>
  <c r="S5" i="1" l="1"/>
  <c r="S7" i="1" s="1"/>
  <c r="X5" i="1" l="1"/>
  <c r="AA5" i="1" s="1"/>
  <c r="AA7" i="1" s="1"/>
</calcChain>
</file>

<file path=xl/sharedStrings.xml><?xml version="1.0" encoding="utf-8"?>
<sst xmlns="http://schemas.openxmlformats.org/spreadsheetml/2006/main" count="371" uniqueCount="354">
  <si>
    <t>VWAP</t>
  </si>
  <si>
    <t>ALVO SIMETRIA</t>
  </si>
  <si>
    <t>PTAX OFICIAL</t>
  </si>
  <si>
    <t>TOTAL</t>
  </si>
  <si>
    <t>4a Prévia</t>
  </si>
  <si>
    <t>ASSIMETRICO</t>
  </si>
  <si>
    <t>3a Prévia</t>
  </si>
  <si>
    <t>DEPOIS</t>
  </si>
  <si>
    <t>INSTAVEL</t>
  </si>
  <si>
    <t>2a Prévia</t>
  </si>
  <si>
    <t>PONTEIRO</t>
  </si>
  <si>
    <t>ESTAVEL</t>
  </si>
  <si>
    <t>1a Prévia</t>
  </si>
  <si>
    <t>ANTES</t>
  </si>
  <si>
    <t>SIMETRICO</t>
  </si>
  <si>
    <t>FINAL</t>
  </si>
  <si>
    <t>PTX4</t>
  </si>
  <si>
    <t>PTX3</t>
  </si>
  <si>
    <t>PTX2</t>
  </si>
  <si>
    <t>PTX1</t>
  </si>
  <si>
    <t>MÉDIA</t>
  </si>
  <si>
    <t>FUTURO</t>
  </si>
  <si>
    <t xml:space="preserve">PTAX  </t>
  </si>
  <si>
    <t>VALOR</t>
  </si>
  <si>
    <t>ESCALA</t>
  </si>
  <si>
    <t>PTX MED</t>
  </si>
  <si>
    <t>ANÁLISE PTAX</t>
  </si>
  <si>
    <t>DOLFUT</t>
  </si>
  <si>
    <t>DOLINDEX</t>
  </si>
  <si>
    <t>JUSTO DOLAR</t>
  </si>
  <si>
    <t>Preencher os campos em cinza</t>
  </si>
  <si>
    <t>Min</t>
  </si>
  <si>
    <t>Delta</t>
  </si>
  <si>
    <t>Máx</t>
  </si>
  <si>
    <t>PTAX 13H*</t>
  </si>
  <si>
    <t>Dia Uteis do Ano</t>
  </si>
  <si>
    <t>Taxa Over</t>
  </si>
  <si>
    <t>PTAX 12H*</t>
  </si>
  <si>
    <t>Dias Vencimento DI</t>
  </si>
  <si>
    <t xml:space="preserve">Mínima </t>
  </si>
  <si>
    <t>Dólar Comercial</t>
  </si>
  <si>
    <t xml:space="preserve">Máxima </t>
  </si>
  <si>
    <t>PTAX 11H*</t>
  </si>
  <si>
    <t>Taxa DI</t>
  </si>
  <si>
    <t>Preço justo</t>
  </si>
  <si>
    <t>Variação Dx</t>
  </si>
  <si>
    <t>PTAX 10H*</t>
  </si>
  <si>
    <t>Fechamento dia Anterior DOLAR</t>
  </si>
  <si>
    <t>Abertura Dólar</t>
  </si>
  <si>
    <t>DI1FUT</t>
  </si>
  <si>
    <t>DI1X24</t>
  </si>
  <si>
    <t>PTAX-TAXA</t>
  </si>
  <si>
    <t>Asset</t>
  </si>
  <si>
    <t>Último</t>
  </si>
  <si>
    <t>WDOFUT</t>
  </si>
  <si>
    <t>Fechamento Anterior</t>
  </si>
  <si>
    <t>Variação</t>
  </si>
  <si>
    <t>Volume</t>
  </si>
  <si>
    <t>Aj. Anterior</t>
  </si>
  <si>
    <t>VWAP Mensal</t>
  </si>
  <si>
    <t>VWAP Semanal</t>
  </si>
  <si>
    <t>DI1F25</t>
  </si>
  <si>
    <t>=RTD("RTDTrading.RTDServer",, "DI1F25_F_0", "ULT")</t>
  </si>
  <si>
    <t>=RTD("RTDTrading.RTDServer",, "DI1F25_F_0", "FEC")</t>
  </si>
  <si>
    <t>=RTD("RTDTrading.RTDServer",, "DI1F25_F_0", "VAR")</t>
  </si>
  <si>
    <t>=RTD("RTDTrading.RTDServer",, "DI1F25_F_0", "VOL")</t>
  </si>
  <si>
    <t>=RTD("RTDTrading.RTDServer",, "DI1F25_F_0", "AJA")</t>
  </si>
  <si>
    <t>=RTD("RTDTrading.RTDServer",, "DI1F25_F_0", "67")</t>
  </si>
  <si>
    <t>=RTD("RTDTrading.RTDServer",, "DI1F25_F_0", "131")</t>
  </si>
  <si>
    <t>=RTD("RTDTrading.RTDServer",, "DI1F25_F_0", "130")</t>
  </si>
  <si>
    <t>DI1F26</t>
  </si>
  <si>
    <t>=RTD("RTDTrading.RTDServer",, "DI1F26_F_0", "ULT")</t>
  </si>
  <si>
    <t>=RTD("RTDTrading.RTDServer",, "DI1F26_F_0", "FEC")</t>
  </si>
  <si>
    <t>=RTD("RTDTrading.RTDServer",, "DI1F26_F_0", "VAR")</t>
  </si>
  <si>
    <t>=RTD("RTDTrading.RTDServer",, "DI1F26_F_0", "VOL")</t>
  </si>
  <si>
    <t>=RTD("RTDTrading.RTDServer",, "DI1F26_F_0", "AJA")</t>
  </si>
  <si>
    <t>=RTD("RTDTrading.RTDServer",, "DI1F26_F_0", "67")</t>
  </si>
  <si>
    <t>=RTD("RTDTrading.RTDServer",, "DI1F26_F_0", "131")</t>
  </si>
  <si>
    <t>=RTD("RTDTrading.RTDServer",, "DI1F26_F_0", "130")</t>
  </si>
  <si>
    <t>DI1F27</t>
  </si>
  <si>
    <t>=RTD("RTDTrading.RTDServer",, "DI1F27_F_0", "ULT")</t>
  </si>
  <si>
    <t>=RTD("RTDTrading.RTDServer",, "DI1F27_F_0", "FEC")</t>
  </si>
  <si>
    <t>=RTD("RTDTrading.RTDServer",, "DI1F27_F_0", "VAR")</t>
  </si>
  <si>
    <t>=RTD("RTDTrading.RTDServer",, "DI1F27_F_0", "VOL")</t>
  </si>
  <si>
    <t>=RTD("RTDTrading.RTDServer",, "DI1F27_F_0", "AJA")</t>
  </si>
  <si>
    <t>=RTD("RTDTrading.RTDServer",, "DI1F27_F_0", "67")</t>
  </si>
  <si>
    <t>=RTD("RTDTrading.RTDServer",, "DI1F27_F_0", "131")</t>
  </si>
  <si>
    <t>=RTD("RTDTrading.RTDServer",, "DI1F27_F_0", "130")</t>
  </si>
  <si>
    <t>DI1F28</t>
  </si>
  <si>
    <t>=RTD("RTDTrading.RTDServer",, "DI1F28_F_0", "ULT")</t>
  </si>
  <si>
    <t>=RTD("RTDTrading.RTDServer",, "DI1F28_F_0", "FEC")</t>
  </si>
  <si>
    <t>=RTD("RTDTrading.RTDServer",, "DI1F28_F_0", "VAR")</t>
  </si>
  <si>
    <t>=RTD("RTDTrading.RTDServer",, "DI1F28_F_0", "VOL")</t>
  </si>
  <si>
    <t>=RTD("RTDTrading.RTDServer",, "DI1F28_F_0", "AJA")</t>
  </si>
  <si>
    <t>=RTD("RTDTrading.RTDServer",, "DI1F28_F_0", "67")</t>
  </si>
  <si>
    <t>=RTD("RTDTrading.RTDServer",, "DI1F28_F_0", "131")</t>
  </si>
  <si>
    <t>=RTD("RTDTrading.RTDServer",, "DI1F28_F_0", "130")</t>
  </si>
  <si>
    <t>DI1F29</t>
  </si>
  <si>
    <t>=RTD("RTDTrading.RTDServer",, "DI1F29_F_0", "ULT")</t>
  </si>
  <si>
    <t>=RTD("RTDTrading.RTDServer",, "DI1F29_F_0", "FEC")</t>
  </si>
  <si>
    <t>=RTD("RTDTrading.RTDServer",, "DI1F29_F_0", "VAR")</t>
  </si>
  <si>
    <t>=RTD("RTDTrading.RTDServer",, "DI1F29_F_0", "VOL")</t>
  </si>
  <si>
    <t>=RTD("RTDTrading.RTDServer",, "DI1F29_F_0", "AJA")</t>
  </si>
  <si>
    <t>=RTD("RTDTrading.RTDServer",, "DI1F29_F_0", "67")</t>
  </si>
  <si>
    <t>=RTD("RTDTrading.RTDServer",, "DI1F29_F_0", "131")</t>
  </si>
  <si>
    <t>=RTD("RTDTrading.RTDServer",, "DI1F29_F_0", "130")</t>
  </si>
  <si>
    <t>DI1F30</t>
  </si>
  <si>
    <t>=RTD("RTDTrading.RTDServer",, "DI1F30_F_0", "ULT")</t>
  </si>
  <si>
    <t>=RTD("RTDTrading.RTDServer",, "DI1F30_F_0", "FEC")</t>
  </si>
  <si>
    <t>=RTD("RTDTrading.RTDServer",, "DI1F30_F_0", "VAR")</t>
  </si>
  <si>
    <t>=RTD("RTDTrading.RTDServer",, "DI1F30_F_0", "VOL")</t>
  </si>
  <si>
    <t>=RTD("RTDTrading.RTDServer",, "DI1F30_F_0", "AJA")</t>
  </si>
  <si>
    <t>=RTD("RTDTrading.RTDServer",, "DI1F30_F_0", "67")</t>
  </si>
  <si>
    <t>=RTD("RTDTrading.RTDServer",, "DI1F30_F_0", "131")</t>
  </si>
  <si>
    <t>=RTD("RTDTrading.RTDServer",, "DI1F30_F_0", "130")</t>
  </si>
  <si>
    <t>DI1F31</t>
  </si>
  <si>
    <t>=RTD("RTDTrading.RTDServer",, "DI1F31_F_0", "ULT")</t>
  </si>
  <si>
    <t>=RTD("RTDTrading.RTDServer",, "DI1F31_F_0", "FEC")</t>
  </si>
  <si>
    <t>=RTD("RTDTrading.RTDServer",, "DI1F31_F_0", "VAR")</t>
  </si>
  <si>
    <t>=RTD("RTDTrading.RTDServer",, "DI1F31_F_0", "VOL")</t>
  </si>
  <si>
    <t>=RTD("RTDTrading.RTDServer",, "DI1F31_F_0", "AJA")</t>
  </si>
  <si>
    <t>=RTD("RTDTrading.RTDServer",, "DI1F31_F_0", "67")</t>
  </si>
  <si>
    <t>=RTD("RTDTrading.RTDServer",, "DI1F31_F_0", "131")</t>
  </si>
  <si>
    <t>=RTD("RTDTrading.RTDServer",, "DI1F31_F_0", "130")</t>
  </si>
  <si>
    <t>DI1F32</t>
  </si>
  <si>
    <t>=RTD("RTDTrading.RTDServer",, "DI1F32_F_0", "ULT")</t>
  </si>
  <si>
    <t>=RTD("RTDTrading.RTDServer",, "DI1F32_F_0", "FEC")</t>
  </si>
  <si>
    <t>=RTD("RTDTrading.RTDServer",, "DI1F32_F_0", "VAR")</t>
  </si>
  <si>
    <t>=RTD("RTDTrading.RTDServer",, "DI1F32_F_0", "VOL")</t>
  </si>
  <si>
    <t>=RTD("RTDTrading.RTDServer",, "DI1F32_F_0", "AJA")</t>
  </si>
  <si>
    <t>=RTD("RTDTrading.RTDServer",, "DI1F32_F_0", "67")</t>
  </si>
  <si>
    <t>=RTD("RTDTrading.RTDServer",, "DI1F32_F_0", "131")</t>
  </si>
  <si>
    <t>=RTD("RTDTrading.RTDServer",, "DI1F32_F_0", "130")</t>
  </si>
  <si>
    <t>DI1F33</t>
  </si>
  <si>
    <t>=RTD("RTDTrading.RTDServer",, "DI1F33_F_0", "ULT")</t>
  </si>
  <si>
    <t>=RTD("RTDTrading.RTDServer",, "DI1F33_F_0", "FEC")</t>
  </si>
  <si>
    <t>=RTD("RTDTrading.RTDServer",, "DI1F33_F_0", "VAR")</t>
  </si>
  <si>
    <t>=RTD("RTDTrading.RTDServer",, "DI1F33_F_0", "VOL")</t>
  </si>
  <si>
    <t>=RTD("RTDTrading.RTDServer",, "DI1F33_F_0", "AJA")</t>
  </si>
  <si>
    <t>=RTD("RTDTrading.RTDServer",, "DI1F33_F_0", "67")</t>
  </si>
  <si>
    <t>=RTD("RTDTrading.RTDServer",, "DI1F33_F_0", "131")</t>
  </si>
  <si>
    <t>=RTD("RTDTrading.RTDServer",, "DI1F33_F_0", "130")</t>
  </si>
  <si>
    <t>DI1F34</t>
  </si>
  <si>
    <t>=RTD("RTDTrading.RTDServer",, "DI1F34_F_0", "ULT")</t>
  </si>
  <si>
    <t>=RTD("RTDTrading.RTDServer",, "DI1F34_F_0", "FEC")</t>
  </si>
  <si>
    <t>=RTD("RTDTrading.RTDServer",, "DI1F34_F_0", "VAR")</t>
  </si>
  <si>
    <t>=RTD("RTDTrading.RTDServer",, "DI1F34_F_0", "VOL")</t>
  </si>
  <si>
    <t>=RTD("RTDTrading.RTDServer",, "DI1F34_F_0", "AJA")</t>
  </si>
  <si>
    <t>=RTD("RTDTrading.RTDServer",, "DI1F34_F_0", "67")</t>
  </si>
  <si>
    <t>=RTD("RTDTrading.RTDServer",, "DI1F34_F_0", "131")</t>
  </si>
  <si>
    <t>=RTD("RTDTrading.RTDServer",, "DI1F34_F_0", "130")</t>
  </si>
  <si>
    <t>DI1F35</t>
  </si>
  <si>
    <t>=RTD("RTDTrading.RTDServer",, "DI1F35_F_0", "ULT")</t>
  </si>
  <si>
    <t>=RTD("RTDTrading.RTDServer",, "DI1F35_F_0", "FEC")</t>
  </si>
  <si>
    <t>=RTD("RTDTrading.RTDServer",, "DI1F35_F_0", "VAR")</t>
  </si>
  <si>
    <t>=RTD("RTDTrading.RTDServer",, "DI1F35_F_0", "VOL")</t>
  </si>
  <si>
    <t>=RTD("RTDTrading.RTDServer",, "DI1F35_F_0", "AJA")</t>
  </si>
  <si>
    <t>=RTD("RTDTrading.RTDServer",, "DI1F35_F_0", "67")</t>
  </si>
  <si>
    <t>=RTD("RTDTrading.RTDServer",, "DI1F35_F_0", "131")</t>
  </si>
  <si>
    <t>=RTD("RTDTrading.RTDServer",, "DI1F35_F_0", "130")</t>
  </si>
  <si>
    <t>=RTD("RTDTrading.RTDServer",, "DI1FUT_F_0", "ULT")</t>
  </si>
  <si>
    <t>=RTD("RTDTrading.RTDServer",, "DI1FUT_F_0", "FEC")</t>
  </si>
  <si>
    <t>=RTD("RTDTrading.RTDServer",, "DI1FUT_F_0", "VAR")</t>
  </si>
  <si>
    <t>=RTD("RTDTrading.RTDServer",, "DI1FUT_F_0", "VOL")</t>
  </si>
  <si>
    <t>=RTD("RTDTrading.RTDServer",, "DI1FUT_F_0", "AJA")</t>
  </si>
  <si>
    <t>=RTD("RTDTrading.RTDServer",, "DI1FUT_F_0", "67")</t>
  </si>
  <si>
    <t>=RTD("RTDTrading.RTDServer",, "DI1FUT_F_0", "131")</t>
  </si>
  <si>
    <t>=RTD("RTDTrading.RTDServer",, "DI1FUT_F_0", "130")</t>
  </si>
  <si>
    <t>DI1FUTV</t>
  </si>
  <si>
    <t>=RTD("RTDTrading.RTDServer",, "DI1FUTV_F_0", "ULT")</t>
  </si>
  <si>
    <t>=RTD("RTDTrading.RTDServer",, "DI1FUTV_F_0", "FEC")</t>
  </si>
  <si>
    <t>=RTD("RTDTrading.RTDServer",, "DI1FUTV_F_0", "VAR")</t>
  </si>
  <si>
    <t>=RTD("RTDTrading.RTDServer",, "DI1FUTV_F_0", "VOL")</t>
  </si>
  <si>
    <t>=RTD("RTDTrading.RTDServer",, "DI1FUTV_F_0", "AJA")</t>
  </si>
  <si>
    <t>=RTD("RTDTrading.RTDServer",, "DI1FUTV_F_0", "67")</t>
  </si>
  <si>
    <t>=RTD("RTDTrading.RTDServer",, "DI1FUTV_F_0", "131")</t>
  </si>
  <si>
    <t>=RTD("RTDTrading.RTDServer",, "DI1FUTV_F_0", "130")</t>
  </si>
  <si>
    <t>DI1G25</t>
  </si>
  <si>
    <t>=RTD("RTDTrading.RTDServer",, "DI1G25_F_0", "ULT")</t>
  </si>
  <si>
    <t>=RTD("RTDTrading.RTDServer",, "DI1G25_F_0", "FEC")</t>
  </si>
  <si>
    <t>=RTD("RTDTrading.RTDServer",, "DI1G25_F_0", "VAR")</t>
  </si>
  <si>
    <t>=RTD("RTDTrading.RTDServer",, "DI1G25_F_0", "VOL")</t>
  </si>
  <si>
    <t>=RTD("RTDTrading.RTDServer",, "DI1G25_F_0", "AJA")</t>
  </si>
  <si>
    <t>=RTD("RTDTrading.RTDServer",, "DI1G25_F_0", "67")</t>
  </si>
  <si>
    <t>=RTD("RTDTrading.RTDServer",, "DI1G25_F_0", "131")</t>
  </si>
  <si>
    <t>=RTD("RTDTrading.RTDServer",, "DI1G25_F_0", "130")</t>
  </si>
  <si>
    <t>DI1H25</t>
  </si>
  <si>
    <t>=RTD("RTDTrading.RTDServer",, "DI1H25_F_0", "ULT")</t>
  </si>
  <si>
    <t>=RTD("RTDTrading.RTDServer",, "DI1H25_F_0", "FEC")</t>
  </si>
  <si>
    <t>=RTD("RTDTrading.RTDServer",, "DI1H25_F_0", "VAR")</t>
  </si>
  <si>
    <t>=RTD("RTDTrading.RTDServer",, "DI1H25_F_0", "VOL")</t>
  </si>
  <si>
    <t>=RTD("RTDTrading.RTDServer",, "DI1H25_F_0", "AJA")</t>
  </si>
  <si>
    <t>=RTD("RTDTrading.RTDServer",, "DI1H25_F_0", "67")</t>
  </si>
  <si>
    <t>=RTD("RTDTrading.RTDServer",, "DI1H25_F_0", "131")</t>
  </si>
  <si>
    <t>=RTD("RTDTrading.RTDServer",, "DI1H25_F_0", "130")</t>
  </si>
  <si>
    <t>DI1J25</t>
  </si>
  <si>
    <t>=RTD("RTDTrading.RTDServer",, "DI1J25_F_0", "ULT")</t>
  </si>
  <si>
    <t>=RTD("RTDTrading.RTDServer",, "DI1J25_F_0", "FEC")</t>
  </si>
  <si>
    <t>=RTD("RTDTrading.RTDServer",, "DI1J25_F_0", "VAR")</t>
  </si>
  <si>
    <t>=RTD("RTDTrading.RTDServer",, "DI1J25_F_0", "VOL")</t>
  </si>
  <si>
    <t>=RTD("RTDTrading.RTDServer",, "DI1J25_F_0", "AJA")</t>
  </si>
  <si>
    <t>=RTD("RTDTrading.RTDServer",, "DI1J25_F_0", "67")</t>
  </si>
  <si>
    <t>=RTD("RTDTrading.RTDServer",, "DI1J25_F_0", "131")</t>
  </si>
  <si>
    <t>=RTD("RTDTrading.RTDServer",, "DI1J25_F_0", "130")</t>
  </si>
  <si>
    <t>DI1J26</t>
  </si>
  <si>
    <t>=RTD("RTDTrading.RTDServer",, "DI1J26_F_0", "ULT")</t>
  </si>
  <si>
    <t>=RTD("RTDTrading.RTDServer",, "DI1J26_F_0", "FEC")</t>
  </si>
  <si>
    <t>=RTD("RTDTrading.RTDServer",, "DI1J26_F_0", "VAR")</t>
  </si>
  <si>
    <t>=RTD("RTDTrading.RTDServer",, "DI1J26_F_0", "VOL")</t>
  </si>
  <si>
    <t>=RTD("RTDTrading.RTDServer",, "DI1J26_F_0", "AJA")</t>
  </si>
  <si>
    <t>=RTD("RTDTrading.RTDServer",, "DI1J26_F_0", "67")</t>
  </si>
  <si>
    <t>=RTD("RTDTrading.RTDServer",, "DI1J26_F_0", "131")</t>
  </si>
  <si>
    <t>=RTD("RTDTrading.RTDServer",, "DI1J26_F_0", "130")</t>
  </si>
  <si>
    <t>DI1J27</t>
  </si>
  <si>
    <t>=RTD("RTDTrading.RTDServer",, "DI1J27_F_0", "ULT")</t>
  </si>
  <si>
    <t>=RTD("RTDTrading.RTDServer",, "DI1J27_F_0", "FEC")</t>
  </si>
  <si>
    <t>=RTD("RTDTrading.RTDServer",, "DI1J27_F_0", "VAR")</t>
  </si>
  <si>
    <t>=RTD("RTDTrading.RTDServer",, "DI1J27_F_0", "VOL")</t>
  </si>
  <si>
    <t>=RTD("RTDTrading.RTDServer",, "DI1J27_F_0", "AJA")</t>
  </si>
  <si>
    <t>=RTD("RTDTrading.RTDServer",, "DI1J27_F_0", "67")</t>
  </si>
  <si>
    <t>=RTD("RTDTrading.RTDServer",, "DI1J27_F_0", "131")</t>
  </si>
  <si>
    <t>=RTD("RTDTrading.RTDServer",, "DI1J27_F_0", "130")</t>
  </si>
  <si>
    <t>DI1J28</t>
  </si>
  <si>
    <t>=RTD("RTDTrading.RTDServer",, "DI1J28_F_0", "ULT")</t>
  </si>
  <si>
    <t>=RTD("RTDTrading.RTDServer",, "DI1J28_F_0", "FEC")</t>
  </si>
  <si>
    <t>=RTD("RTDTrading.RTDServer",, "DI1J28_F_0", "VAR")</t>
  </si>
  <si>
    <t>=RTD("RTDTrading.RTDServer",, "DI1J28_F_0", "VOL")</t>
  </si>
  <si>
    <t>=RTD("RTDTrading.RTDServer",, "DI1J28_F_0", "AJA")</t>
  </si>
  <si>
    <t>=RTD("RTDTrading.RTDServer",, "DI1J28_F_0", "67")</t>
  </si>
  <si>
    <t>=RTD("RTDTrading.RTDServer",, "DI1J28_F_0", "131")</t>
  </si>
  <si>
    <t>=RTD("RTDTrading.RTDServer",, "DI1J28_F_0", "130")</t>
  </si>
  <si>
    <t>DI1K25</t>
  </si>
  <si>
    <t>=RTD("RTDTrading.RTDServer",, "DI1K25_F_0", "ULT")</t>
  </si>
  <si>
    <t>=RTD("RTDTrading.RTDServer",, "DI1K25_F_0", "FEC")</t>
  </si>
  <si>
    <t>=RTD("RTDTrading.RTDServer",, "DI1K25_F_0", "VAR")</t>
  </si>
  <si>
    <t>=RTD("RTDTrading.RTDServer",, "DI1K25_F_0", "VOL")</t>
  </si>
  <si>
    <t>=RTD("RTDTrading.RTDServer",, "DI1K25_F_0", "AJA")</t>
  </si>
  <si>
    <t>=RTD("RTDTrading.RTDServer",, "DI1K25_F_0", "67")</t>
  </si>
  <si>
    <t>=RTD("RTDTrading.RTDServer",, "DI1K25_F_0", "131")</t>
  </si>
  <si>
    <t>=RTD("RTDTrading.RTDServer",, "DI1K25_F_0", "130")</t>
  </si>
  <si>
    <t>DI1M25</t>
  </si>
  <si>
    <t>=RTD("RTDTrading.RTDServer",, "DI1M25_F_0", "ULT")</t>
  </si>
  <si>
    <t>=RTD("RTDTrading.RTDServer",, "DI1M25_F_0", "FEC")</t>
  </si>
  <si>
    <t>=RTD("RTDTrading.RTDServer",, "DI1M25_F_0", "VAR")</t>
  </si>
  <si>
    <t>=RTD("RTDTrading.RTDServer",, "DI1M25_F_0", "VOL")</t>
  </si>
  <si>
    <t>=RTD("RTDTrading.RTDServer",, "DI1M25_F_0", "AJA")</t>
  </si>
  <si>
    <t>=RTD("RTDTrading.RTDServer",, "DI1M25_F_0", "67")</t>
  </si>
  <si>
    <t>=RTD("RTDTrading.RTDServer",, "DI1M25_F_0", "131")</t>
  </si>
  <si>
    <t>=RTD("RTDTrading.RTDServer",, "DI1M25_F_0", "130")</t>
  </si>
  <si>
    <t>DI1N25</t>
  </si>
  <si>
    <t>=RTD("RTDTrading.RTDServer",, "DI1N25_F_0", "ULT")</t>
  </si>
  <si>
    <t>=RTD("RTDTrading.RTDServer",, "DI1N25_F_0", "FEC")</t>
  </si>
  <si>
    <t>=RTD("RTDTrading.RTDServer",, "DI1N25_F_0", "VAR")</t>
  </si>
  <si>
    <t>=RTD("RTDTrading.RTDServer",, "DI1N25_F_0", "VOL")</t>
  </si>
  <si>
    <t>=RTD("RTDTrading.RTDServer",, "DI1N25_F_0", "AJA")</t>
  </si>
  <si>
    <t>=RTD("RTDTrading.RTDServer",, "DI1N25_F_0", "67")</t>
  </si>
  <si>
    <t>=RTD("RTDTrading.RTDServer",, "DI1N25_F_0", "131")</t>
  </si>
  <si>
    <t>=RTD("RTDTrading.RTDServer",, "DI1N25_F_0", "130")</t>
  </si>
  <si>
    <t>DI1N26</t>
  </si>
  <si>
    <t>=RTD("RTDTrading.RTDServer",, "DI1N26_F_0", "ULT")</t>
  </si>
  <si>
    <t>=RTD("RTDTrading.RTDServer",, "DI1N26_F_0", "FEC")</t>
  </si>
  <si>
    <t>=RTD("RTDTrading.RTDServer",, "DI1N26_F_0", "VAR")</t>
  </si>
  <si>
    <t>=RTD("RTDTrading.RTDServer",, "DI1N26_F_0", "VOL")</t>
  </si>
  <si>
    <t>=RTD("RTDTrading.RTDServer",, "DI1N26_F_0", "AJA")</t>
  </si>
  <si>
    <t>=RTD("RTDTrading.RTDServer",, "DI1N26_F_0", "67")</t>
  </si>
  <si>
    <t>=RTD("RTDTrading.RTDServer",, "DI1N26_F_0", "131")</t>
  </si>
  <si>
    <t>=RTD("RTDTrading.RTDServer",, "DI1N26_F_0", "130")</t>
  </si>
  <si>
    <t>DI1N27</t>
  </si>
  <si>
    <t>=RTD("RTDTrading.RTDServer",, "DI1N27_F_0", "ULT")</t>
  </si>
  <si>
    <t>=RTD("RTDTrading.RTDServer",, "DI1N27_F_0", "FEC")</t>
  </si>
  <si>
    <t>=RTD("RTDTrading.RTDServer",, "DI1N27_F_0", "VAR")</t>
  </si>
  <si>
    <t>=RTD("RTDTrading.RTDServer",, "DI1N27_F_0", "VOL")</t>
  </si>
  <si>
    <t>=RTD("RTDTrading.RTDServer",, "DI1N27_F_0", "AJA")</t>
  </si>
  <si>
    <t>=RTD("RTDTrading.RTDServer",, "DI1N27_F_0", "67")</t>
  </si>
  <si>
    <t>=RTD("RTDTrading.RTDServer",, "DI1N27_F_0", "131")</t>
  </si>
  <si>
    <t>=RTD("RTDTrading.RTDServer",, "DI1N27_F_0", "130")</t>
  </si>
  <si>
    <t>DI1N28</t>
  </si>
  <si>
    <t>=RTD("RTDTrading.RTDServer",, "DI1N28_F_0", "ULT")</t>
  </si>
  <si>
    <t>=RTD("RTDTrading.RTDServer",, "DI1N28_F_0", "FEC")</t>
  </si>
  <si>
    <t>=RTD("RTDTrading.RTDServer",, "DI1N28_F_0", "VAR")</t>
  </si>
  <si>
    <t>=RTD("RTDTrading.RTDServer",, "DI1N28_F_0", "VOL")</t>
  </si>
  <si>
    <t>=RTD("RTDTrading.RTDServer",, "DI1N28_F_0", "AJA")</t>
  </si>
  <si>
    <t>=RTD("RTDTrading.RTDServer",, "DI1N28_F_0", "67")</t>
  </si>
  <si>
    <t>=RTD("RTDTrading.RTDServer",, "DI1N28_F_0", "131")</t>
  </si>
  <si>
    <t>=RTD("RTDTrading.RTDServer",, "DI1N28_F_0", "130")</t>
  </si>
  <si>
    <t>DI1N29</t>
  </si>
  <si>
    <t>=RTD("RTDTrading.RTDServer",, "DI1N29_F_0", "ULT")</t>
  </si>
  <si>
    <t>=RTD("RTDTrading.RTDServer",, "DI1N29_F_0", "FEC")</t>
  </si>
  <si>
    <t>=RTD("RTDTrading.RTDServer",, "DI1N29_F_0", "VAR")</t>
  </si>
  <si>
    <t>=RTD("RTDTrading.RTDServer",, "DI1N29_F_0", "VOL")</t>
  </si>
  <si>
    <t>=RTD("RTDTrading.RTDServer",, "DI1N29_F_0", "AJA")</t>
  </si>
  <si>
    <t>=RTD("RTDTrading.RTDServer",, "DI1N29_F_0", "67")</t>
  </si>
  <si>
    <t>=RTD("RTDTrading.RTDServer",, "DI1N29_F_0", "131")</t>
  </si>
  <si>
    <t>=RTD("RTDTrading.RTDServer",, "DI1N29_F_0", "130")</t>
  </si>
  <si>
    <t>DI1V25</t>
  </si>
  <si>
    <t>=RTD("RTDTrading.RTDServer",, "DI1V25_F_0", "ULT")</t>
  </si>
  <si>
    <t>=RTD("RTDTrading.RTDServer",, "DI1V25_F_0", "FEC")</t>
  </si>
  <si>
    <t>=RTD("RTDTrading.RTDServer",, "DI1V25_F_0", "VAR")</t>
  </si>
  <si>
    <t>=RTD("RTDTrading.RTDServer",, "DI1V25_F_0", "VOL")</t>
  </si>
  <si>
    <t>=RTD("RTDTrading.RTDServer",, "DI1V25_F_0", "AJA")</t>
  </si>
  <si>
    <t>=RTD("RTDTrading.RTDServer",, "DI1V25_F_0", "67")</t>
  </si>
  <si>
    <t>=RTD("RTDTrading.RTDServer",, "DI1V25_F_0", "131")</t>
  </si>
  <si>
    <t>=RTD("RTDTrading.RTDServer",, "DI1V25_F_0", "130")</t>
  </si>
  <si>
    <t>DI1V26</t>
  </si>
  <si>
    <t>=RTD("RTDTrading.RTDServer",, "DI1V26_F_0", "ULT")</t>
  </si>
  <si>
    <t>=RTD("RTDTrading.RTDServer",, "DI1V26_F_0", "FEC")</t>
  </si>
  <si>
    <t>=RTD("RTDTrading.RTDServer",, "DI1V26_F_0", "VAR")</t>
  </si>
  <si>
    <t>=RTD("RTDTrading.RTDServer",, "DI1V26_F_0", "VOL")</t>
  </si>
  <si>
    <t>=RTD("RTDTrading.RTDServer",, "DI1V26_F_0", "AJA")</t>
  </si>
  <si>
    <t>=RTD("RTDTrading.RTDServer",, "DI1V26_F_0", "67")</t>
  </si>
  <si>
    <t>=RTD("RTDTrading.RTDServer",, "DI1V26_F_0", "131")</t>
  </si>
  <si>
    <t>=RTD("RTDTrading.RTDServer",, "DI1V26_F_0", "130")</t>
  </si>
  <si>
    <t>DI1V27</t>
  </si>
  <si>
    <t>=RTD("RTDTrading.RTDServer",, "DI1V27_F_0", "ULT")</t>
  </si>
  <si>
    <t>=RTD("RTDTrading.RTDServer",, "DI1V27_F_0", "FEC")</t>
  </si>
  <si>
    <t>=RTD("RTDTrading.RTDServer",, "DI1V27_F_0", "VAR")</t>
  </si>
  <si>
    <t>=RTD("RTDTrading.RTDServer",, "DI1V27_F_0", "VOL")</t>
  </si>
  <si>
    <t>=RTD("RTDTrading.RTDServer",, "DI1V27_F_0", "AJA")</t>
  </si>
  <si>
    <t>=RTD("RTDTrading.RTDServer",, "DI1V27_F_0", "67")</t>
  </si>
  <si>
    <t>=RTD("RTDTrading.RTDServer",, "DI1V27_F_0", "131")</t>
  </si>
  <si>
    <t>=RTD("RTDTrading.RTDServer",, "DI1V27_F_0", "130")</t>
  </si>
  <si>
    <t>=RTD("RTDTrading.RTDServer",, "DI1X24_F_0", "ULT")</t>
  </si>
  <si>
    <t>=RTD("RTDTrading.RTDServer",, "DI1X24_F_0", "FEC")</t>
  </si>
  <si>
    <t>=RTD("RTDTrading.RTDServer",, "DI1X24_F_0", "VAR")</t>
  </si>
  <si>
    <t>=RTD("RTDTrading.RTDServer",, "DI1X24_F_0", "VOL")</t>
  </si>
  <si>
    <t>=RTD("RTDTrading.RTDServer",, "DI1X24_F_0", "AJA")</t>
  </si>
  <si>
    <t>=RTD("RTDTrading.RTDServer",, "DI1X24_F_0", "67")</t>
  </si>
  <si>
    <t>=RTD("RTDTrading.RTDServer",, "DI1X24_F_0", "131")</t>
  </si>
  <si>
    <t>=RTD("RTDTrading.RTDServer",, "DI1X24_F_0", "130")</t>
  </si>
  <si>
    <t>DI1Z24</t>
  </si>
  <si>
    <t>=RTD("RTDTrading.RTDServer",, "DI1Z24_F_0", "ULT")</t>
  </si>
  <si>
    <t>=RTD("RTDTrading.RTDServer",, "DI1Z24_F_0", "FEC")</t>
  </si>
  <si>
    <t>=RTD("RTDTrading.RTDServer",, "DI1Z24_F_0", "VAR")</t>
  </si>
  <si>
    <t>=RTD("RTDTrading.RTDServer",, "DI1Z24_F_0", "VOL")</t>
  </si>
  <si>
    <t>=RTD("RTDTrading.RTDServer",, "DI1Z24_F_0", "AJA")</t>
  </si>
  <si>
    <t>=RTD("RTDTrading.RTDServer",, "DI1Z24_F_0", "67")</t>
  </si>
  <si>
    <t>=RTD("RTDTrading.RTDServer",, "DI1Z24_F_0", "131")</t>
  </si>
  <si>
    <t>=RTD("RTDTrading.RTDServer",, "DI1Z24_F_0", "130")</t>
  </si>
  <si>
    <t>=RTD("RTDTrading.RTDServer",, "DOLFUT_F_0", "ULT")</t>
  </si>
  <si>
    <t>=RTD("RTDTrading.RTDServer",, "DOLFUT_F_0", "FEC")</t>
  </si>
  <si>
    <t>=RTD("RTDTrading.RTDServer",, "DOLFUT_F_0", "VAR")</t>
  </si>
  <si>
    <t>=RTD("RTDTrading.RTDServer",, "DOLFUT_F_0", "VOL")</t>
  </si>
  <si>
    <t>=RTD("RTDTrading.RTDServer",, "DOLFUT_F_0", "AJA")</t>
  </si>
  <si>
    <t>=RTD("RTDTrading.RTDServer",, "DOLFUT_F_0", "67")</t>
  </si>
  <si>
    <t>=RTD("RTDTrading.RTDServer",, "DOLFUT_F_0", "131")</t>
  </si>
  <si>
    <t>=RTD("RTDTrading.RTDServer",, "DOLFUT_F_0", "130")</t>
  </si>
  <si>
    <t>=RTD("RTDTrading.RTDServer",, "DOLINDEX_O_0", "ULT")</t>
  </si>
  <si>
    <t>=RTD("RTDTrading.RTDServer",, "DOLINDEX_O_0", "FEC")</t>
  </si>
  <si>
    <t>=RTD("RTDTrading.RTDServer",, "DOLINDEX_O_0", "VAR")</t>
  </si>
  <si>
    <t>=RTD("RTDTrading.RTDServer",, "DOLINDEX_O_0", "VOL")</t>
  </si>
  <si>
    <t>=RTD("RTDTrading.RTDServer",, "DOLINDEX_O_0", "AJA")</t>
  </si>
  <si>
    <t>=RTD("RTDTrading.RTDServer",, "DOLINDEX_O_0", "67")</t>
  </si>
  <si>
    <t>=RTD("RTDTrading.RTDServer",, "DOLINDEX_O_0", "131")</t>
  </si>
  <si>
    <t>=RTD("RTDTrading.RTDServer",, "DOLINDEX_O_0", "130")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</si>
</sst>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Arial"/>
      <family val="2"/>
    </font>
    <font>
      <sz val="11"/>
      <color theme="0"/>
      <name val="Arial"/>
      <family val="2"/>
    </font>
    <font>
      <sz val="11"/>
      <color theme="0"/>
      <name val="Calibri"/>
      <family val="2"/>
    </font>
    <font>
      <b/>
      <sz val="11"/>
      <color rgb="FF9C0006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u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31" applyNumberFormat="0" applyAlignment="0" applyProtection="0"/>
  </cellStyleXfs>
  <cellXfs count="78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164" fontId="5" fillId="0" borderId="0" xfId="1" applyFont="1" applyFill="1" applyBorder="1" applyAlignment="1" applyProtection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164" fontId="7" fillId="0" borderId="12" xfId="1" applyFont="1" applyFill="1" applyBorder="1" applyAlignment="1" applyProtection="1">
      <alignment horizontal="center" vertical="center"/>
    </xf>
    <xf numFmtId="164" fontId="7" fillId="0" borderId="13" xfId="1" applyFont="1" applyFill="1" applyBorder="1" applyAlignment="1" applyProtection="1">
      <alignment horizontal="center" vertical="center"/>
    </xf>
    <xf numFmtId="164" fontId="7" fillId="0" borderId="14" xfId="1" applyFont="1" applyFill="1" applyBorder="1" applyAlignment="1" applyProtection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4" fontId="7" fillId="0" borderId="17" xfId="1" applyFont="1" applyFill="1" applyBorder="1" applyAlignment="1" applyProtection="1">
      <alignment horizontal="center" vertical="center"/>
    </xf>
    <xf numFmtId="164" fontId="7" fillId="0" borderId="18" xfId="1" applyFont="1" applyFill="1" applyBorder="1" applyAlignment="1" applyProtection="1">
      <alignment horizontal="center" vertical="center"/>
    </xf>
    <xf numFmtId="164" fontId="7" fillId="0" borderId="19" xfId="1" applyFont="1" applyFill="1" applyBorder="1" applyAlignment="1" applyProtection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4" fontId="5" fillId="3" borderId="22" xfId="1" applyFont="1" applyFill="1" applyBorder="1" applyAlignment="1" applyProtection="1">
      <alignment horizontal="center" vertical="center"/>
    </xf>
    <xf numFmtId="2" fontId="3" fillId="0" borderId="11" xfId="0" applyNumberFormat="1" applyFont="1" applyBorder="1" applyAlignment="1">
      <alignment horizontal="center"/>
    </xf>
    <xf numFmtId="164" fontId="5" fillId="3" borderId="23" xfId="1" applyFont="1" applyFill="1" applyBorder="1" applyAlignment="1" applyProtection="1">
      <alignment horizontal="center" vertical="center"/>
    </xf>
    <xf numFmtId="164" fontId="5" fillId="3" borderId="24" xfId="1" applyFont="1" applyFill="1" applyBorder="1" applyAlignment="1" applyProtection="1">
      <alignment horizontal="center" vertical="center"/>
    </xf>
    <xf numFmtId="164" fontId="5" fillId="3" borderId="25" xfId="1" applyFont="1" applyFill="1" applyBorder="1" applyAlignment="1" applyProtection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16" fontId="5" fillId="3" borderId="24" xfId="0" applyNumberFormat="1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0" fontId="3" fillId="0" borderId="0" xfId="0" quotePrefix="1" applyFont="1"/>
    <xf numFmtId="0" fontId="5" fillId="0" borderId="0" xfId="0" applyFont="1" applyAlignment="1">
      <alignment horizontal="center" vertical="center"/>
    </xf>
    <xf numFmtId="0" fontId="5" fillId="3" borderId="28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9" xfId="0" applyNumberFormat="1" applyFont="1" applyBorder="1"/>
    <xf numFmtId="10" fontId="4" fillId="0" borderId="1" xfId="0" applyNumberFormat="1" applyFont="1" applyBorder="1" applyAlignment="1">
      <alignment horizontal="center"/>
    </xf>
    <xf numFmtId="0" fontId="13" fillId="2" borderId="0" xfId="0" applyFont="1" applyFill="1" applyAlignment="1" applyProtection="1">
      <protection locked="0"/>
    </xf>
    <xf numFmtId="0" fontId="15" fillId="2" borderId="0" xfId="0" applyFont="1" applyFill="1" applyBorder="1" applyProtection="1">
      <protection locked="0"/>
    </xf>
    <xf numFmtId="165" fontId="16" fillId="5" borderId="11" xfId="3" applyNumberFormat="1" applyFont="1" applyBorder="1" applyAlignment="1" applyProtection="1">
      <alignment horizontal="center"/>
      <protection locked="0"/>
    </xf>
    <xf numFmtId="0" fontId="16" fillId="5" borderId="11" xfId="3" applyFont="1" applyBorder="1" applyAlignment="1" applyProtection="1">
      <alignment horizontal="center" vertical="center"/>
      <protection locked="0"/>
    </xf>
    <xf numFmtId="0" fontId="15" fillId="2" borderId="33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 applyProtection="1">
      <alignment horizontal="center" vertical="center"/>
      <protection locked="0"/>
    </xf>
    <xf numFmtId="165" fontId="19" fillId="4" borderId="11" xfId="2" applyNumberFormat="1" applyFont="1" applyBorder="1" applyAlignment="1" applyProtection="1">
      <alignment horizontal="center"/>
      <protection locked="0"/>
    </xf>
    <xf numFmtId="0" fontId="19" fillId="4" borderId="11" xfId="2" applyFont="1" applyBorder="1" applyAlignment="1" applyProtection="1">
      <alignment horizontal="center" vertical="center"/>
      <protection locked="0"/>
    </xf>
    <xf numFmtId="0" fontId="21" fillId="7" borderId="33" xfId="0" applyFont="1" applyFill="1" applyBorder="1" applyAlignment="1" applyProtection="1">
      <alignment horizontal="center" vertical="center"/>
      <protection locked="0"/>
    </xf>
    <xf numFmtId="165" fontId="16" fillId="5" borderId="11" xfId="3" applyNumberFormat="1" applyFont="1" applyBorder="1" applyAlignment="1" applyProtection="1">
      <alignment horizontal="center" vertical="center"/>
      <protection locked="0"/>
    </xf>
    <xf numFmtId="0" fontId="22" fillId="2" borderId="33" xfId="0" applyFont="1" applyFill="1" applyBorder="1" applyAlignment="1" applyProtection="1">
      <alignment horizontal="center" vertical="center"/>
      <protection locked="0"/>
    </xf>
    <xf numFmtId="165" fontId="19" fillId="4" borderId="11" xfId="2" applyNumberFormat="1" applyFont="1" applyBorder="1" applyAlignment="1" applyProtection="1">
      <alignment horizontal="center" vertical="center"/>
      <protection locked="0"/>
    </xf>
    <xf numFmtId="165" fontId="20" fillId="8" borderId="34" xfId="0" applyNumberFormat="1" applyFont="1" applyFill="1" applyBorder="1" applyAlignment="1" applyProtection="1">
      <alignment horizontal="center" vertical="center"/>
      <protection locked="0"/>
    </xf>
    <xf numFmtId="0" fontId="23" fillId="8" borderId="34" xfId="0" applyFont="1" applyFill="1" applyBorder="1" applyAlignment="1" applyProtection="1">
      <alignment horizontal="center" vertical="center"/>
      <protection locked="0"/>
    </xf>
    <xf numFmtId="0" fontId="20" fillId="2" borderId="33" xfId="0" applyFont="1" applyFill="1" applyBorder="1" applyAlignment="1" applyProtection="1">
      <alignment horizontal="center" vertical="center"/>
      <protection locked="0"/>
    </xf>
    <xf numFmtId="0" fontId="23" fillId="2" borderId="33" xfId="0" applyFont="1" applyFill="1" applyBorder="1" applyAlignment="1" applyProtection="1">
      <alignment horizontal="center" vertical="center"/>
      <protection locked="0"/>
    </xf>
    <xf numFmtId="165" fontId="24" fillId="9" borderId="33" xfId="2" applyNumberFormat="1" applyFont="1" applyFill="1" applyBorder="1" applyAlignment="1" applyProtection="1">
      <alignment horizontal="center" vertical="center"/>
      <protection locked="0"/>
    </xf>
    <xf numFmtId="0" fontId="12" fillId="9" borderId="33" xfId="2" applyFont="1" applyFill="1" applyBorder="1" applyAlignment="1" applyProtection="1">
      <alignment horizontal="center" vertical="center"/>
      <protection locked="0"/>
    </xf>
    <xf numFmtId="2" fontId="3" fillId="0" borderId="0" xfId="0" applyNumberFormat="1" applyFont="1"/>
    <xf numFmtId="16" fontId="0" fillId="0" borderId="0" xfId="0" applyNumberFormat="1"/>
    <xf numFmtId="4" fontId="4" fillId="0" borderId="1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2" fontId="6" fillId="0" borderId="3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4" fillId="2" borderId="0" xfId="0" applyFont="1" applyFill="1" applyAlignment="1" applyProtection="1">
      <alignment horizontal="left" vertical="top"/>
      <protection locked="0"/>
    </xf>
    <xf numFmtId="0" fontId="13" fillId="2" borderId="0" xfId="0" applyFont="1" applyFill="1" applyAlignment="1" applyProtection="1">
      <alignment horizontal="left" vertical="top"/>
      <protection locked="0"/>
    </xf>
    <xf numFmtId="0" fontId="12" fillId="2" borderId="33" xfId="4" applyFont="1" applyFill="1" applyBorder="1" applyAlignment="1" applyProtection="1">
      <alignment horizontal="center" vertical="center"/>
      <protection locked="0"/>
    </xf>
    <xf numFmtId="0" fontId="12" fillId="2" borderId="33" xfId="4" applyFont="1" applyFill="1" applyBorder="1" applyProtection="1">
      <protection locked="0"/>
    </xf>
    <xf numFmtId="0" fontId="20" fillId="7" borderId="32" xfId="0" applyFont="1" applyFill="1" applyBorder="1" applyAlignment="1" applyProtection="1">
      <alignment horizontal="center" vertical="center"/>
      <protection locked="0"/>
    </xf>
    <xf numFmtId="0" fontId="17" fillId="7" borderId="32" xfId="0" applyFont="1" applyFill="1" applyBorder="1" applyProtection="1">
      <protection locked="0"/>
    </xf>
  </cellXfs>
  <cellStyles count="5">
    <cellStyle name="Bom" xfId="2" builtinId="26"/>
    <cellStyle name="Cálculo" xfId="4" builtinId="22"/>
    <cellStyle name="Incorreto" xfId="3" builtinId="27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s">
        <v>-</v>
        <stp/>
        <stp>DI1X24_F_0</stp>
        <stp>67</stp>
        <tr r="J24" s="2"/>
      </tp>
      <tp t="s">
        <v>14,230</v>
        <stp/>
        <stp>DI1FUT_F_0</stp>
        <stp>67</stp>
        <tr r="J23" s="2"/>
      </tp>
      <tp>
        <v>0</v>
        <stp/>
        <stp>DI1X24_F_0</stp>
        <stp>ULT</stp>
        <tr r="H24" s="2"/>
      </tp>
      <tp>
        <v>14.26</v>
        <stp/>
        <stp>DI1FUT_F_0</stp>
        <stp>AJA</stp>
        <tr r="I23" s="2"/>
      </tp>
      <tp>
        <v>5204.5519999999997</v>
        <stp/>
        <stp>DOLFUT_F_0</stp>
        <stp>AJA</stp>
        <tr r="I21" s="2"/>
      </tp>
      <tp>
        <v>0</v>
        <stp/>
        <stp>DI1X24_F_0</stp>
        <stp>AJA</stp>
        <tr r="I24" s="2"/>
      </tp>
      <tp>
        <v>14.151000000000002</v>
        <stp/>
        <stp>DI1FUTV_F_0</stp>
        <stp>ULT</stp>
        <tr r="B17" s="2"/>
      </tp>
      <tp>
        <v>5207</v>
        <stp/>
        <stp>DOLFUT_F_0</stp>
        <stp>ULT</stp>
        <tr r="F3" s="2"/>
        <tr r="H21" s="2"/>
        <tr r="K2" s="1"/>
        <tr r="C16" s="1"/>
      </tp>
      <tp>
        <v>14.225</v>
        <stp/>
        <stp>DI1FUT_F_0</stp>
        <stp>ULT</stp>
        <tr r="H23" s="2"/>
      </tp>
      <tp>
        <v>0</v>
        <stp/>
        <stp>DOLINDEX_O_0</stp>
        <stp>AJA</stp>
        <tr r="I22" s="2"/>
      </tp>
      <tp t="s">
        <v>101,023008</v>
        <stp/>
        <stp>DOLINDEX_O_0</stp>
        <stp>67</stp>
        <tr r="J22" s="2"/>
      </tp>
      <tp t="s">
        <v>5.209,667</v>
        <stp/>
        <stp>DOLFUT_F_0</stp>
        <stp>67</stp>
        <tr r="J21" s="2"/>
        <tr r="C14" s="1"/>
      </tp>
      <tp>
        <v>101.073116</v>
        <stp/>
        <stp>DOLINDEX_O_0</stp>
        <stp>ULT</stp>
        <tr r="H22" s="2"/>
      </tp>
      <tp>
        <v>0.19720605229963398</v>
        <stp/>
        <stp>DOLINDEX_O_0</stp>
        <stp>VAR</stp>
        <tr r="F18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14562089733425"/>
          <c:y val="0.18518518518518517"/>
          <c:w val="0.47963224739741395"/>
          <c:h val="0.81270973072810326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A0-4F97-9919-B6EB920F2094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A0-4F97-9919-B6EB920F209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A0-4F97-9919-B6EB920F2094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A0-4F97-9919-B6EB920F2094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DA0-4F97-9919-B6EB920F2094}"/>
              </c:ext>
            </c:extLst>
          </c:dPt>
          <c:cat>
            <c:strRef>
              <c:f>ESTUDO_PTAX!$U$5:$U$9</c:f>
              <c:strCache>
                <c:ptCount val="5"/>
                <c:pt idx="0">
                  <c:v>SIMETRICO</c:v>
                </c:pt>
                <c:pt idx="1">
                  <c:v>ESTAVEL</c:v>
                </c:pt>
                <c:pt idx="2">
                  <c:v>INSTAVEL</c:v>
                </c:pt>
                <c:pt idx="3">
                  <c:v>ASSIMETRICO</c:v>
                </c:pt>
                <c:pt idx="4">
                  <c:v>TOTAL</c:v>
                </c:pt>
              </c:strCache>
            </c:strRef>
          </c:cat>
          <c:val>
            <c:numRef>
              <c:f>ESTUDO_PTAX!$V$5:$V$9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10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A0-4F97-9919-B6EB920F2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PONTEIRO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DA0-4F97-9919-B6EB920F2094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DA0-4F97-9919-B6EB920F2094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DA0-4F97-9919-B6EB920F2094}"/>
              </c:ext>
            </c:extLst>
          </c:dPt>
          <c:val>
            <c:numRef>
              <c:f>ESTUDO_PTAX!$AA$5:$AA$7</c:f>
              <c:numCache>
                <c:formatCode>General</c:formatCode>
                <c:ptCount val="3"/>
                <c:pt idx="0">
                  <c:v>0</c:v>
                </c:pt>
                <c:pt idx="1">
                  <c:v>0.4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DA0-4F97-9919-B6EB920F2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t.me/JediAcadem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19052</xdr:colOff>
      <xdr:row>3</xdr:row>
      <xdr:rowOff>0</xdr:rowOff>
    </xdr:from>
    <xdr:to>
      <xdr:col>13</xdr:col>
      <xdr:colOff>419100</xdr:colOff>
      <xdr:row>13</xdr:row>
      <xdr:rowOff>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64291811-5FDB-40EC-B8CF-8D7439298200}"/>
            </a:ext>
          </a:extLst>
        </xdr:cNvPr>
        <xdr:cNvGrpSpPr/>
      </xdr:nvGrpSpPr>
      <xdr:grpSpPr>
        <a:xfrm>
          <a:off x="6086477" y="457200"/>
          <a:ext cx="2838448" cy="1524000"/>
          <a:chOff x="5362577" y="45859"/>
          <a:chExt cx="2838448" cy="1419224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50654ED0-D327-464E-B49F-CE8800D0233A}"/>
              </a:ext>
            </a:extLst>
          </xdr:cNvPr>
          <xdr:cNvGraphicFramePr/>
        </xdr:nvGraphicFramePr>
        <xdr:xfrm>
          <a:off x="5362577" y="45859"/>
          <a:ext cx="2838448" cy="14192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D9776268-C1DA-44C2-A048-7CE939DF20F9}"/>
              </a:ext>
            </a:extLst>
          </xdr:cNvPr>
          <xdr:cNvSpPr/>
        </xdr:nvSpPr>
        <xdr:spPr>
          <a:xfrm>
            <a:off x="6134101" y="114717"/>
            <a:ext cx="1447800" cy="180974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900" b="1"/>
              <a:t>NÍVEL</a:t>
            </a:r>
            <a:r>
              <a:rPr lang="pt-BR" sz="900" b="1" baseline="0"/>
              <a:t> ASSIMETRIA</a:t>
            </a:r>
            <a:endParaRPr lang="pt-BR" sz="900" b="1"/>
          </a:p>
        </xdr:txBody>
      </xdr:sp>
    </xdr:grpSp>
    <xdr:clientData/>
  </xdr:twoCellAnchor>
  <xdr:twoCellAnchor>
    <xdr:from>
      <xdr:col>11</xdr:col>
      <xdr:colOff>66676</xdr:colOff>
      <xdr:row>10</xdr:row>
      <xdr:rowOff>95251</xdr:rowOff>
    </xdr:from>
    <xdr:to>
      <xdr:col>11</xdr:col>
      <xdr:colOff>504826</xdr:colOff>
      <xdr:row>12</xdr:row>
      <xdr:rowOff>38101</xdr:rowOff>
    </xdr:to>
    <xdr:sp macro="" textlink="$S$7">
      <xdr:nvSpPr>
        <xdr:cNvPr id="5" name="Retângulo: Cantos Arredondados 4">
          <a:extLst>
            <a:ext uri="{FF2B5EF4-FFF2-40B4-BE49-F238E27FC236}">
              <a16:creationId xmlns:a16="http://schemas.microsoft.com/office/drawing/2014/main" id="{28EB704E-0B04-4B0C-9529-E095F4CF3FF2}"/>
            </a:ext>
          </a:extLst>
        </xdr:cNvPr>
        <xdr:cNvSpPr/>
      </xdr:nvSpPr>
      <xdr:spPr>
        <a:xfrm>
          <a:off x="6772276" y="2000251"/>
          <a:ext cx="438150" cy="323850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E842E176-E3B5-4B57-981A-E4EE0D90BA4C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#VALOR!</a:t>
          </a:fld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1</xdr:row>
      <xdr:rowOff>66674</xdr:rowOff>
    </xdr:from>
    <xdr:ext cx="2138518" cy="2000251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CA6164-D0F7-4FDA-B260-AA7489063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247649"/>
          <a:ext cx="2138518" cy="20002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r.tradingview.com/symbols/USDBRL/" TargetMode="External"/><Relationship Id="rId2" Type="http://schemas.openxmlformats.org/officeDocument/2006/relationships/hyperlink" Target="https://br.advfn.com/investimentos/futuros/di-depositos-interfinanceiros/cotacoes" TargetMode="External"/><Relationship Id="rId1" Type="http://schemas.openxmlformats.org/officeDocument/2006/relationships/hyperlink" Target="https://br.investing.com/economic-calendar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B1:AA18"/>
  <sheetViews>
    <sheetView showGridLines="0" zoomScaleNormal="100" workbookViewId="0">
      <selection activeCell="C18" sqref="C18"/>
    </sheetView>
  </sheetViews>
  <sheetFormatPr defaultColWidth="9.140625" defaultRowHeight="12" x14ac:dyDescent="0.2"/>
  <cols>
    <col min="1" max="1" width="2.28515625" style="1" customWidth="1"/>
    <col min="2" max="4" width="9.7109375" style="1" customWidth="1"/>
    <col min="5" max="8" width="12.7109375" style="3" customWidth="1"/>
    <col min="9" max="9" width="8.7109375" style="1" customWidth="1"/>
    <col min="10" max="14" width="9.140625" style="1"/>
    <col min="15" max="15" width="2.28515625" style="1" customWidth="1"/>
    <col min="16" max="17" width="9.140625" style="1"/>
    <col min="18" max="18" width="9.140625" style="2"/>
    <col min="19" max="19" width="14.140625" style="1" customWidth="1"/>
    <col min="20" max="20" width="3.7109375" style="1" customWidth="1"/>
    <col min="21" max="21" width="11" style="1" bestFit="1" customWidth="1"/>
    <col min="22" max="22" width="9.140625" style="1"/>
    <col min="23" max="23" width="3.85546875" style="1" customWidth="1"/>
    <col min="24" max="24" width="9.140625" style="1"/>
    <col min="25" max="25" width="3.7109375" style="1" customWidth="1"/>
    <col min="26" max="16384" width="9.140625" style="1"/>
  </cols>
  <sheetData>
    <row r="1" spans="2:27" ht="12" customHeight="1" x14ac:dyDescent="0.2"/>
    <row r="2" spans="2:27" ht="12" customHeight="1" x14ac:dyDescent="0.2">
      <c r="B2" s="70" t="s">
        <v>26</v>
      </c>
      <c r="C2" s="70"/>
      <c r="D2" s="70"/>
      <c r="E2" s="70"/>
      <c r="F2" s="70"/>
      <c r="G2" s="33"/>
      <c r="I2" s="33"/>
      <c r="J2" s="31"/>
      <c r="K2" s="57">
        <f>RTD("rtdtrading.rtdserver",, "DOLFUT_F_0", "ULT")</f>
        <v>5207</v>
      </c>
      <c r="S2" s="32"/>
    </row>
    <row r="3" spans="2:27" ht="12" customHeight="1" thickBot="1" x14ac:dyDescent="0.25">
      <c r="B3" s="70"/>
      <c r="C3" s="70"/>
      <c r="D3" s="70"/>
      <c r="E3" s="70"/>
      <c r="F3" s="70"/>
      <c r="G3" s="31"/>
      <c r="I3" s="31"/>
    </row>
    <row r="4" spans="2:27" ht="12" customHeight="1" thickBot="1" x14ac:dyDescent="0.25">
      <c r="S4" s="22" t="s">
        <v>25</v>
      </c>
      <c r="T4" s="6"/>
      <c r="V4" s="30" t="s">
        <v>24</v>
      </c>
      <c r="X4" s="10" t="s">
        <v>23</v>
      </c>
      <c r="Z4" s="10" t="s">
        <v>10</v>
      </c>
    </row>
    <row r="5" spans="2:27" ht="12" customHeight="1" thickBot="1" x14ac:dyDescent="0.25">
      <c r="B5" s="29" t="s">
        <v>22</v>
      </c>
      <c r="C5" s="28" t="s">
        <v>21</v>
      </c>
      <c r="D5" s="27" t="s">
        <v>20</v>
      </c>
      <c r="E5" s="26" t="s">
        <v>19</v>
      </c>
      <c r="F5" s="25" t="s">
        <v>18</v>
      </c>
      <c r="G5" s="25" t="s">
        <v>17</v>
      </c>
      <c r="H5" s="25" t="s">
        <v>16</v>
      </c>
      <c r="I5" s="24" t="s">
        <v>15</v>
      </c>
      <c r="S5" s="19" t="str">
        <f>IF(C6="","",IF(C7="",D6,IF(C8="",D7,IF(C9="",D8,D9))))</f>
        <v/>
      </c>
      <c r="T5" s="21"/>
      <c r="U5" s="10" t="s">
        <v>14</v>
      </c>
      <c r="V5" s="9">
        <v>2</v>
      </c>
      <c r="X5" s="23" t="e">
        <f>IF(S7&gt;21,21,S7)</f>
        <v>#VALUE!</v>
      </c>
      <c r="Z5" s="10" t="s">
        <v>13</v>
      </c>
      <c r="AA5" s="9" t="e">
        <f>X5-AA6/2</f>
        <v>#VALUE!</v>
      </c>
    </row>
    <row r="6" spans="2:27" ht="12" customHeight="1" x14ac:dyDescent="0.25">
      <c r="B6" s="20" t="s">
        <v>12</v>
      </c>
      <c r="C6" s="61"/>
      <c r="D6" s="19">
        <f>C6</f>
        <v>0</v>
      </c>
      <c r="E6" s="18">
        <f>C16</f>
        <v>5207</v>
      </c>
      <c r="F6" s="17">
        <f>C6</f>
        <v>0</v>
      </c>
      <c r="G6" s="17">
        <f>F6</f>
        <v>0</v>
      </c>
      <c r="H6" s="17">
        <f>G6</f>
        <v>0</v>
      </c>
      <c r="I6" s="16">
        <f>H6</f>
        <v>0</v>
      </c>
      <c r="S6" s="22"/>
      <c r="T6" s="6"/>
      <c r="U6" s="10" t="s">
        <v>11</v>
      </c>
      <c r="V6" s="9">
        <v>3</v>
      </c>
      <c r="Z6" s="10" t="s">
        <v>10</v>
      </c>
      <c r="AA6" s="9">
        <v>0.4</v>
      </c>
    </row>
    <row r="7" spans="2:27" ht="12" customHeight="1" x14ac:dyDescent="0.25">
      <c r="B7" s="20" t="s">
        <v>9</v>
      </c>
      <c r="C7" s="61"/>
      <c r="D7" s="19">
        <f>(C6+C7)/2</f>
        <v>0</v>
      </c>
      <c r="E7" s="18"/>
      <c r="F7" s="17">
        <f>E6</f>
        <v>5207</v>
      </c>
      <c r="G7" s="17">
        <f>C7</f>
        <v>0</v>
      </c>
      <c r="H7" s="17">
        <f>G7</f>
        <v>0</v>
      </c>
      <c r="I7" s="16">
        <f>H7</f>
        <v>0</v>
      </c>
      <c r="S7" s="19" t="e">
        <f>IF((C14-S5)&gt;0,C14-S5,(C14-S5)*-1)</f>
        <v>#VALUE!</v>
      </c>
      <c r="T7" s="21"/>
      <c r="U7" s="10" t="s">
        <v>8</v>
      </c>
      <c r="V7" s="9">
        <v>6</v>
      </c>
      <c r="Z7" s="10" t="s">
        <v>7</v>
      </c>
      <c r="AA7" s="9" t="e">
        <f>SUM(V5:V9)-AA5-AA6</f>
        <v>#VALUE!</v>
      </c>
    </row>
    <row r="8" spans="2:27" ht="12" customHeight="1" x14ac:dyDescent="0.25">
      <c r="B8" s="20" t="s">
        <v>6</v>
      </c>
      <c r="C8" s="61"/>
      <c r="D8" s="19">
        <f>(C6+C7+C8)/3</f>
        <v>0</v>
      </c>
      <c r="E8" s="18"/>
      <c r="F8" s="17"/>
      <c r="G8" s="17">
        <f>F7</f>
        <v>5207</v>
      </c>
      <c r="H8" s="17">
        <f>C8</f>
        <v>0</v>
      </c>
      <c r="I8" s="16">
        <f>H8</f>
        <v>0</v>
      </c>
      <c r="U8" s="10" t="s">
        <v>5</v>
      </c>
      <c r="V8" s="9">
        <v>10</v>
      </c>
    </row>
    <row r="9" spans="2:27" ht="12" customHeight="1" thickBot="1" x14ac:dyDescent="0.3">
      <c r="B9" s="15" t="s">
        <v>4</v>
      </c>
      <c r="C9" s="61"/>
      <c r="D9" s="14">
        <f>(C6+C7+C8+C9)/4</f>
        <v>0</v>
      </c>
      <c r="E9" s="13"/>
      <c r="F9" s="12"/>
      <c r="G9" s="12"/>
      <c r="H9" s="12">
        <f>G8</f>
        <v>5207</v>
      </c>
      <c r="I9" s="11">
        <f>C9</f>
        <v>0</v>
      </c>
      <c r="U9" s="10" t="s">
        <v>3</v>
      </c>
      <c r="V9" s="9">
        <f>SUM(V5:V8)</f>
        <v>21</v>
      </c>
    </row>
    <row r="10" spans="2:27" ht="12" customHeight="1" thickBot="1" x14ac:dyDescent="0.25">
      <c r="B10" s="5" t="s">
        <v>2</v>
      </c>
      <c r="C10" s="8" t="e">
        <f>AVERAGE(C6:C9)</f>
        <v>#DIV/0!</v>
      </c>
      <c r="D10" s="5" t="s">
        <v>1</v>
      </c>
      <c r="E10" s="8">
        <f>ROUND(C14,2)</f>
        <v>5209.67</v>
      </c>
      <c r="F10" s="8">
        <f>(C14*2)-C6</f>
        <v>10419.334000000001</v>
      </c>
      <c r="G10" s="8">
        <f>(C14*3)-C6-C7</f>
        <v>15629.001</v>
      </c>
      <c r="H10" s="8">
        <f>(C14*4)-C6-C7-C8</f>
        <v>20838.668000000001</v>
      </c>
      <c r="I10" s="7"/>
      <c r="S10" s="6"/>
    </row>
    <row r="11" spans="2:27" ht="12" customHeight="1" x14ac:dyDescent="0.2">
      <c r="B11" s="64"/>
      <c r="C11" s="65"/>
      <c r="D11" s="65"/>
      <c r="E11" s="65"/>
      <c r="F11" s="65"/>
      <c r="G11" s="65"/>
      <c r="H11" s="65"/>
      <c r="I11" s="66"/>
    </row>
    <row r="12" spans="2:27" ht="12" customHeight="1" thickBot="1" x14ac:dyDescent="0.25">
      <c r="B12" s="67"/>
      <c r="C12" s="68"/>
      <c r="D12" s="68"/>
      <c r="E12" s="68"/>
      <c r="F12" s="68"/>
      <c r="G12" s="68"/>
      <c r="H12" s="68"/>
      <c r="I12" s="69"/>
    </row>
    <row r="13" spans="2:27" ht="12" customHeight="1" thickBot="1" x14ac:dyDescent="0.25">
      <c r="C13" s="60"/>
    </row>
    <row r="14" spans="2:27" ht="12.75" thickBot="1" x14ac:dyDescent="0.25">
      <c r="B14" s="5" t="s">
        <v>0</v>
      </c>
      <c r="C14" s="62" t="str">
        <f>RTD("rtdtrading.rtdserver",, "DOLFUT_F_0", "67")</f>
        <v>5.209,667</v>
      </c>
      <c r="E14" s="4"/>
    </row>
    <row r="15" spans="2:27" ht="12.75" thickBot="1" x14ac:dyDescent="0.25">
      <c r="B15" s="1" t="s">
        <v>52</v>
      </c>
      <c r="C15" s="1" t="s">
        <v>53</v>
      </c>
      <c r="G15" s="36"/>
    </row>
    <row r="16" spans="2:27" ht="12.75" thickBot="1" x14ac:dyDescent="0.25">
      <c r="B16" s="5" t="s">
        <v>54</v>
      </c>
      <c r="C16" s="59">
        <f>RTD("rtdtrading.rtdserver",, "DOLFUT_F_0", "ULT")</f>
        <v>5207</v>
      </c>
      <c r="E16" s="4"/>
    </row>
    <row r="17" spans="2:6" ht="12.75" thickBot="1" x14ac:dyDescent="0.25"/>
    <row r="18" spans="2:6" ht="15.75" thickBot="1" x14ac:dyDescent="0.3">
      <c r="B18" s="34" t="s">
        <v>29</v>
      </c>
      <c r="C18" s="37">
        <f>'Abertura Dólar'!C5</f>
        <v>5211.0391828670217</v>
      </c>
      <c r="E18" s="35" t="s">
        <v>28</v>
      </c>
      <c r="F18" s="63">
        <f>RTD("rtdtrading.rtdserver",, "DOLINDEX_O_0", "VAR")</f>
        <v>0.19720605229963398</v>
      </c>
    </row>
  </sheetData>
  <mergeCells count="2">
    <mergeCell ref="B11:I12"/>
    <mergeCell ref="B2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39" sqref="F39"/>
    </sheetView>
  </sheetViews>
  <sheetFormatPr defaultRowHeight="15" x14ac:dyDescent="0.25"/>
  <sheetData>
    <row r="1" spans="1:2" x14ac:dyDescent="0.25">
      <c r="A1" s="71" t="s">
        <v>51</v>
      </c>
      <c r="B1" s="71"/>
    </row>
    <row r="2" spans="1:2" x14ac:dyDescent="0.25">
      <c r="A2" s="58">
        <v>45579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zoomScale="130" zoomScaleNormal="130" workbookViewId="0">
      <selection activeCell="F6" sqref="F6"/>
    </sheetView>
  </sheetViews>
  <sheetFormatPr defaultRowHeight="15" x14ac:dyDescent="0.25"/>
  <cols>
    <col min="2" max="2" width="14.140625" bestFit="1" customWidth="1"/>
    <col min="3" max="3" width="11" bestFit="1" customWidth="1"/>
    <col min="5" max="5" width="33.42578125" bestFit="1" customWidth="1"/>
    <col min="6" max="6" width="11" bestFit="1" customWidth="1"/>
    <col min="8" max="8" width="10.28515625" bestFit="1" customWidth="1"/>
    <col min="9" max="9" width="9.85546875" bestFit="1" customWidth="1"/>
    <col min="10" max="10" width="4.85546875" bestFit="1" customWidth="1"/>
    <col min="11" max="11" width="7" bestFit="1" customWidth="1"/>
  </cols>
  <sheetData>
    <row r="1" spans="1:15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6.5" thickBot="1" x14ac:dyDescent="0.3">
      <c r="A3" s="40"/>
      <c r="B3" s="56" t="s">
        <v>48</v>
      </c>
      <c r="C3" s="55">
        <f>F3*(1+(F4))</f>
        <v>5216.3725999999997</v>
      </c>
      <c r="D3" s="40"/>
      <c r="E3" s="44" t="s">
        <v>47</v>
      </c>
      <c r="F3">
        <f>RTD("rtdtrading.rtdserver",, "DOLFUT_F_0", "ULT")</f>
        <v>5207</v>
      </c>
      <c r="G3" s="40"/>
      <c r="H3" s="74" t="s">
        <v>46</v>
      </c>
      <c r="I3" s="76">
        <v>5210</v>
      </c>
      <c r="J3" s="46" t="s">
        <v>33</v>
      </c>
      <c r="K3" s="45">
        <f>I3*(1+(F8/100))+F10</f>
        <v>5268.2561604669081</v>
      </c>
      <c r="L3" s="39"/>
      <c r="M3" s="39"/>
      <c r="N3" s="40"/>
      <c r="O3" s="40"/>
    </row>
    <row r="4" spans="1:15" ht="16.5" thickBot="1" x14ac:dyDescent="0.3">
      <c r="A4" s="40"/>
      <c r="B4" s="54" t="s">
        <v>36</v>
      </c>
      <c r="C4" s="53">
        <f>(((F5+1)^(1/F9))-1)*F7</f>
        <v>0.65750787844353309</v>
      </c>
      <c r="D4" s="40"/>
      <c r="E4" s="49" t="s">
        <v>45</v>
      </c>
      <c r="F4" s="38">
        <v>1.8E-3</v>
      </c>
      <c r="G4" s="40"/>
      <c r="H4" s="75"/>
      <c r="I4" s="77"/>
      <c r="J4" s="42" t="s">
        <v>31</v>
      </c>
      <c r="K4" s="41">
        <f>I3*(1+(F8/100))-F10</f>
        <v>5220.2561604669081</v>
      </c>
      <c r="L4" s="39"/>
      <c r="M4" s="39"/>
      <c r="N4" s="40"/>
      <c r="O4" s="40"/>
    </row>
    <row r="5" spans="1:15" ht="15.75" x14ac:dyDescent="0.25">
      <c r="A5" s="40"/>
      <c r="B5" s="52" t="s">
        <v>44</v>
      </c>
      <c r="C5" s="51">
        <f>F6*(1+(F8/100))</f>
        <v>5211.0391828670217</v>
      </c>
      <c r="D5" s="40"/>
      <c r="E5" s="49" t="s">
        <v>43</v>
      </c>
      <c r="F5">
        <v>14225</v>
      </c>
      <c r="G5" s="40"/>
      <c r="H5" s="74" t="s">
        <v>42</v>
      </c>
      <c r="I5" s="76">
        <v>5213</v>
      </c>
      <c r="J5" s="46" t="s">
        <v>33</v>
      </c>
      <c r="K5" s="45">
        <f>I5*(1+(F8/100))+F10</f>
        <v>5271.2758857032622</v>
      </c>
      <c r="L5" s="39"/>
      <c r="M5" s="39"/>
      <c r="N5" s="40"/>
      <c r="O5" s="40"/>
    </row>
    <row r="6" spans="1:15" x14ac:dyDescent="0.25">
      <c r="A6" s="40"/>
      <c r="B6" s="46" t="s">
        <v>41</v>
      </c>
      <c r="C6" s="50">
        <f>C3*(1+(F8/100))+F10</f>
        <v>5274.6706608139702</v>
      </c>
      <c r="D6" s="40"/>
      <c r="E6" s="49" t="s">
        <v>40</v>
      </c>
      <c r="F6" s="47">
        <v>5177</v>
      </c>
      <c r="G6" s="40"/>
      <c r="H6" s="75"/>
      <c r="I6" s="77"/>
      <c r="J6" s="42" t="s">
        <v>31</v>
      </c>
      <c r="K6" s="41">
        <f>I5*(1+(F8/100))-F10</f>
        <v>5223.2758857032622</v>
      </c>
      <c r="L6" s="39"/>
      <c r="M6" s="39"/>
      <c r="N6" s="40"/>
      <c r="O6" s="40"/>
    </row>
    <row r="7" spans="1:15" ht="15.75" x14ac:dyDescent="0.25">
      <c r="A7" s="40"/>
      <c r="B7" s="42" t="s">
        <v>39</v>
      </c>
      <c r="C7" s="48">
        <f>C3*(1+(F8/100))-F10</f>
        <v>5226.6706608139702</v>
      </c>
      <c r="D7" s="40"/>
      <c r="E7" s="44" t="s">
        <v>38</v>
      </c>
      <c r="F7" s="47">
        <v>17</v>
      </c>
      <c r="G7" s="40"/>
      <c r="H7" s="74" t="s">
        <v>37</v>
      </c>
      <c r="I7" s="76"/>
      <c r="J7" s="46" t="s">
        <v>33</v>
      </c>
      <c r="K7" s="45">
        <f>I7*(1+(F8/100))+F10</f>
        <v>24</v>
      </c>
      <c r="L7" s="39"/>
      <c r="M7" s="39"/>
      <c r="N7" s="40"/>
      <c r="O7" s="40"/>
    </row>
    <row r="8" spans="1:15" ht="15.75" x14ac:dyDescent="0.25">
      <c r="A8" s="40"/>
      <c r="B8" s="39"/>
      <c r="C8" s="39"/>
      <c r="D8" s="40"/>
      <c r="E8" s="44" t="s">
        <v>36</v>
      </c>
      <c r="F8" s="43">
        <f>C4</f>
        <v>0.65750787844353309</v>
      </c>
      <c r="G8" s="40"/>
      <c r="H8" s="75"/>
      <c r="I8" s="77"/>
      <c r="J8" s="42" t="s">
        <v>31</v>
      </c>
      <c r="K8" s="41">
        <f>I7*(1+(F8/100))-F10</f>
        <v>-24</v>
      </c>
      <c r="L8" s="39"/>
      <c r="M8" s="39"/>
      <c r="N8" s="40"/>
      <c r="O8" s="40"/>
    </row>
    <row r="9" spans="1:15" ht="15.75" x14ac:dyDescent="0.25">
      <c r="A9" s="40"/>
      <c r="B9" s="39"/>
      <c r="C9" s="39"/>
      <c r="D9" s="40"/>
      <c r="E9" s="44" t="s">
        <v>35</v>
      </c>
      <c r="F9" s="43">
        <v>252</v>
      </c>
      <c r="G9" s="40"/>
      <c r="H9" s="74" t="s">
        <v>34</v>
      </c>
      <c r="I9" s="76"/>
      <c r="J9" s="46" t="s">
        <v>33</v>
      </c>
      <c r="K9" s="45">
        <f>I9*(1+(F8/100))+24</f>
        <v>24</v>
      </c>
      <c r="L9" s="39"/>
      <c r="M9" s="39"/>
      <c r="N9" s="40"/>
      <c r="O9" s="40"/>
    </row>
    <row r="10" spans="1:15" ht="15.75" x14ac:dyDescent="0.25">
      <c r="A10" s="40"/>
      <c r="B10" s="39"/>
      <c r="C10" s="39"/>
      <c r="D10" s="40"/>
      <c r="E10" s="44" t="s">
        <v>32</v>
      </c>
      <c r="F10" s="43">
        <v>24</v>
      </c>
      <c r="G10" s="40"/>
      <c r="H10" s="75"/>
      <c r="I10" s="77"/>
      <c r="J10" s="42" t="s">
        <v>31</v>
      </c>
      <c r="K10" s="41">
        <f>I9*(1+(F8/100))-F10</f>
        <v>-24</v>
      </c>
      <c r="L10" s="39"/>
      <c r="M10" s="39"/>
      <c r="N10" s="40"/>
      <c r="O10" s="40"/>
    </row>
    <row r="11" spans="1:15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</row>
    <row r="12" spans="1:15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</row>
    <row r="13" spans="1:15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</row>
    <row r="14" spans="1:15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</row>
    <row r="15" spans="1:15" x14ac:dyDescent="0.25">
      <c r="A15" s="72" t="s">
        <v>30</v>
      </c>
      <c r="B15" s="73"/>
      <c r="C15" s="73"/>
      <c r="D15" s="73"/>
      <c r="E15" s="73"/>
      <c r="F15" s="73"/>
      <c r="G15" s="39"/>
      <c r="H15" s="39"/>
      <c r="I15" s="39"/>
      <c r="J15" s="39"/>
      <c r="K15" s="39"/>
      <c r="L15" s="39"/>
      <c r="M15" s="39"/>
      <c r="N15" s="39"/>
      <c r="O15" s="39"/>
    </row>
    <row r="17" spans="2:10" x14ac:dyDescent="0.25">
      <c r="B17">
        <f>RTD("rtdtrading.rtdserver",, "DI1FUTV_F_0", "ULT")</f>
        <v>14.151000000000002</v>
      </c>
    </row>
    <row r="21" spans="2:10" x14ac:dyDescent="0.25">
      <c r="G21" t="s">
        <v>27</v>
      </c>
      <c r="H21">
        <f>RTD("rtdtrading.rtdserver",, "DOLFUT_F_0", "ULT")</f>
        <v>5207</v>
      </c>
      <c r="I21">
        <f>RTD("rtdtrading.rtdserver",, "DOLFUT_F_0", "AJA")</f>
        <v>5204.5519999999997</v>
      </c>
      <c r="J21" t="str">
        <f>RTD("rtdtrading.rtdserver",, "DOLFUT_F_0", "67")</f>
        <v>5.209,667</v>
      </c>
    </row>
    <row r="22" spans="2:10" x14ac:dyDescent="0.25">
      <c r="G22" t="s">
        <v>28</v>
      </c>
      <c r="H22">
        <f>RTD("rtdtrading.rtdserver",, "DOLINDEX_O_0", "ULT")</f>
        <v>101.073116</v>
      </c>
      <c r="I22">
        <f>RTD("rtdtrading.rtdserver",, "DOLINDEX_O_0", "AJA")</f>
        <v>0</v>
      </c>
      <c r="J22" t="str">
        <f>RTD("rtdtrading.rtdserver",, "DOLINDEX_O_0", "67")</f>
        <v>101,023008</v>
      </c>
    </row>
    <row r="23" spans="2:10" x14ac:dyDescent="0.25">
      <c r="G23" t="s">
        <v>49</v>
      </c>
      <c r="H23">
        <f>RTD("rtdtrading.rtdserver",, "DI1FUT_F_0", "ULT")</f>
        <v>14.225</v>
      </c>
      <c r="I23">
        <f>RTD("rtdtrading.rtdserver",, "DI1FUT_F_0", "AJA")</f>
        <v>14.26</v>
      </c>
      <c r="J23" t="str">
        <f>RTD("rtdtrading.rtdserver",, "DI1FUT_F_0", "67")</f>
        <v>14,230</v>
      </c>
    </row>
    <row r="24" spans="2:10" x14ac:dyDescent="0.25">
      <c r="G24" t="s">
        <v>50</v>
      </c>
      <c r="H24">
        <f>RTD("rtdtrading.rtdserver",, "DI1X24_F_0", "ULT")</f>
        <v>0</v>
      </c>
      <c r="I24">
        <f>RTD("rtdtrading.rtdserver",, "DI1X24_F_0", "AJA")</f>
        <v>0</v>
      </c>
      <c r="J24" t="str">
        <f>RTD("rtdtrading.rtdserver",, "DI1X24_F_0", "67")</f>
        <v>-</v>
      </c>
    </row>
  </sheetData>
  <mergeCells count="9">
    <mergeCell ref="A15:F15"/>
    <mergeCell ref="H7:H8"/>
    <mergeCell ref="H9:H10"/>
    <mergeCell ref="I9:I10"/>
    <mergeCell ref="H3:H4"/>
    <mergeCell ref="I3:I4"/>
    <mergeCell ref="H5:H6"/>
    <mergeCell ref="I5:I6"/>
    <mergeCell ref="I7:I8"/>
  </mergeCells>
  <hyperlinks>
    <hyperlink ref="E4" r:id="rId1" display="Variação Dx*"/>
    <hyperlink ref="E5" r:id="rId2" display="Taxa DI*"/>
    <hyperlink ref="E6" r:id="rId3" display="Dólar Comercial*"/>
  </hyperlink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B36" sqref="B36"/>
    </sheetView>
  </sheetViews>
  <sheetFormatPr defaultRowHeight="15" x14ac:dyDescent="0.25"/>
  <cols>
    <col min="1" max="1" width="10" bestFit="1" customWidth="1"/>
    <col min="2" max="3" width="52.28515625" bestFit="1" customWidth="1"/>
    <col min="4" max="4" width="52.85546875" bestFit="1" customWidth="1"/>
    <col min="5" max="5" width="52.7109375" bestFit="1" customWidth="1"/>
    <col min="6" max="6" width="52.42578125" bestFit="1" customWidth="1"/>
    <col min="7" max="7" width="51.140625" bestFit="1" customWidth="1"/>
    <col min="8" max="9" width="52.140625" bestFit="1" customWidth="1"/>
  </cols>
  <sheetData>
    <row r="1" spans="1:9" x14ac:dyDescent="0.25">
      <c r="A1" t="s">
        <v>52</v>
      </c>
      <c r="B1" t="s">
        <v>53</v>
      </c>
      <c r="C1" t="s">
        <v>55</v>
      </c>
      <c r="D1" t="s">
        <v>56</v>
      </c>
      <c r="E1" t="s">
        <v>57</v>
      </c>
      <c r="F1" t="s">
        <v>58</v>
      </c>
      <c r="G1" t="s">
        <v>0</v>
      </c>
      <c r="H1" t="s">
        <v>59</v>
      </c>
      <c r="I1" t="s">
        <v>60</v>
      </c>
    </row>
    <row r="2" spans="1:9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</row>
    <row r="3" spans="1: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</row>
    <row r="4" spans="1:9" x14ac:dyDescent="0.25">
      <c r="A4" t="s">
        <v>79</v>
      </c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</row>
    <row r="5" spans="1:9" x14ac:dyDescent="0.25">
      <c r="A5" t="s">
        <v>88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</row>
    <row r="6" spans="1:9" x14ac:dyDescent="0.25">
      <c r="A6" t="s">
        <v>97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</row>
    <row r="7" spans="1:9" x14ac:dyDescent="0.25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</row>
    <row r="8" spans="1:9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</row>
    <row r="9" spans="1:9" x14ac:dyDescent="0.25">
      <c r="A9" t="s">
        <v>124</v>
      </c>
      <c r="B9" t="s">
        <v>125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</row>
    <row r="10" spans="1:9" x14ac:dyDescent="0.25">
      <c r="A10" t="s">
        <v>133</v>
      </c>
      <c r="B10" t="s">
        <v>134</v>
      </c>
      <c r="C10" t="s">
        <v>135</v>
      </c>
      <c r="D10" t="s">
        <v>136</v>
      </c>
      <c r="E10" t="s">
        <v>137</v>
      </c>
      <c r="F10" t="s">
        <v>138</v>
      </c>
      <c r="G10" t="s">
        <v>139</v>
      </c>
      <c r="H10" t="s">
        <v>140</v>
      </c>
      <c r="I10" t="s">
        <v>141</v>
      </c>
    </row>
    <row r="11" spans="1:9" x14ac:dyDescent="0.25">
      <c r="A11" t="s">
        <v>142</v>
      </c>
      <c r="B11" t="s">
        <v>143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I11" t="s">
        <v>150</v>
      </c>
    </row>
    <row r="12" spans="1:9" x14ac:dyDescent="0.25">
      <c r="A12" t="s">
        <v>151</v>
      </c>
      <c r="B12" t="s">
        <v>152</v>
      </c>
      <c r="C12" t="s">
        <v>153</v>
      </c>
      <c r="D12" t="s">
        <v>154</v>
      </c>
      <c r="E12" t="s">
        <v>155</v>
      </c>
      <c r="F12" t="s">
        <v>156</v>
      </c>
      <c r="G12" t="s">
        <v>157</v>
      </c>
      <c r="H12" t="s">
        <v>158</v>
      </c>
      <c r="I12" t="s">
        <v>159</v>
      </c>
    </row>
    <row r="13" spans="1:9" x14ac:dyDescent="0.25">
      <c r="A13" t="s">
        <v>49</v>
      </c>
      <c r="B13" t="s">
        <v>160</v>
      </c>
      <c r="C13" t="s">
        <v>161</v>
      </c>
      <c r="D13" t="s">
        <v>162</v>
      </c>
      <c r="E13" t="s">
        <v>163</v>
      </c>
      <c r="F13" t="s">
        <v>164</v>
      </c>
      <c r="G13" t="s">
        <v>165</v>
      </c>
      <c r="H13" t="s">
        <v>166</v>
      </c>
      <c r="I13" t="s">
        <v>167</v>
      </c>
    </row>
    <row r="14" spans="1:9" x14ac:dyDescent="0.25">
      <c r="A14" t="s">
        <v>168</v>
      </c>
      <c r="B14" t="s">
        <v>169</v>
      </c>
      <c r="C14" t="s">
        <v>170</v>
      </c>
      <c r="D14" t="s">
        <v>171</v>
      </c>
      <c r="E14" t="s">
        <v>172</v>
      </c>
      <c r="F14" t="s">
        <v>173</v>
      </c>
      <c r="G14" t="s">
        <v>174</v>
      </c>
      <c r="H14" t="s">
        <v>175</v>
      </c>
      <c r="I14" t="s">
        <v>176</v>
      </c>
    </row>
    <row r="15" spans="1:9" x14ac:dyDescent="0.25">
      <c r="A15" t="s">
        <v>177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</row>
    <row r="16" spans="1:9" x14ac:dyDescent="0.25">
      <c r="A16" t="s">
        <v>186</v>
      </c>
      <c r="B16" t="s">
        <v>187</v>
      </c>
      <c r="C16" t="s">
        <v>188</v>
      </c>
      <c r="D16" t="s">
        <v>189</v>
      </c>
      <c r="E16" t="s">
        <v>190</v>
      </c>
      <c r="F16" t="s">
        <v>191</v>
      </c>
      <c r="G16" t="s">
        <v>192</v>
      </c>
      <c r="H16" t="s">
        <v>193</v>
      </c>
      <c r="I16" t="s">
        <v>194</v>
      </c>
    </row>
    <row r="17" spans="1:9" x14ac:dyDescent="0.25">
      <c r="A17" t="s">
        <v>195</v>
      </c>
      <c r="B17" t="s">
        <v>196</v>
      </c>
      <c r="C17" t="s">
        <v>197</v>
      </c>
      <c r="D17" t="s">
        <v>198</v>
      </c>
      <c r="E17" t="s">
        <v>199</v>
      </c>
      <c r="F17" t="s">
        <v>200</v>
      </c>
      <c r="G17" t="s">
        <v>201</v>
      </c>
      <c r="H17" t="s">
        <v>202</v>
      </c>
      <c r="I17" t="s">
        <v>203</v>
      </c>
    </row>
    <row r="18" spans="1:9" x14ac:dyDescent="0.25">
      <c r="A18" t="s">
        <v>204</v>
      </c>
      <c r="B18" t="s">
        <v>205</v>
      </c>
      <c r="C18" t="s">
        <v>206</v>
      </c>
      <c r="D18" t="s">
        <v>207</v>
      </c>
      <c r="E18" t="s">
        <v>208</v>
      </c>
      <c r="F18" t="s">
        <v>209</v>
      </c>
      <c r="G18" t="s">
        <v>210</v>
      </c>
      <c r="H18" t="s">
        <v>211</v>
      </c>
      <c r="I18" t="s">
        <v>212</v>
      </c>
    </row>
    <row r="19" spans="1:9" x14ac:dyDescent="0.25">
      <c r="A19" t="s">
        <v>213</v>
      </c>
      <c r="B19" t="s">
        <v>214</v>
      </c>
      <c r="C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</row>
    <row r="20" spans="1:9" x14ac:dyDescent="0.25">
      <c r="A20" t="s">
        <v>222</v>
      </c>
      <c r="B20" t="s">
        <v>223</v>
      </c>
      <c r="C20" t="s">
        <v>224</v>
      </c>
      <c r="D20" t="s">
        <v>225</v>
      </c>
      <c r="E20" t="s">
        <v>226</v>
      </c>
      <c r="F20" t="s">
        <v>227</v>
      </c>
      <c r="G20" t="s">
        <v>228</v>
      </c>
      <c r="H20" t="s">
        <v>229</v>
      </c>
      <c r="I20" t="s">
        <v>230</v>
      </c>
    </row>
    <row r="21" spans="1:9" x14ac:dyDescent="0.25">
      <c r="A21" t="s">
        <v>231</v>
      </c>
      <c r="B21" t="s">
        <v>232</v>
      </c>
      <c r="C21" t="s">
        <v>233</v>
      </c>
      <c r="D21" t="s">
        <v>234</v>
      </c>
      <c r="E21" t="s">
        <v>235</v>
      </c>
      <c r="F21" t="s">
        <v>236</v>
      </c>
      <c r="G21" t="s">
        <v>237</v>
      </c>
      <c r="H21" t="s">
        <v>238</v>
      </c>
      <c r="I21" t="s">
        <v>239</v>
      </c>
    </row>
    <row r="22" spans="1:9" x14ac:dyDescent="0.25">
      <c r="A22" t="s">
        <v>240</v>
      </c>
      <c r="B22" t="s">
        <v>241</v>
      </c>
      <c r="C22" t="s">
        <v>242</v>
      </c>
      <c r="D22" t="s">
        <v>243</v>
      </c>
      <c r="E22" t="s">
        <v>244</v>
      </c>
      <c r="F22" t="s">
        <v>245</v>
      </c>
      <c r="G22" t="s">
        <v>246</v>
      </c>
      <c r="H22" t="s">
        <v>247</v>
      </c>
      <c r="I22" t="s">
        <v>248</v>
      </c>
    </row>
    <row r="23" spans="1:9" x14ac:dyDescent="0.25">
      <c r="A23" t="s">
        <v>249</v>
      </c>
      <c r="B23" t="s">
        <v>250</v>
      </c>
      <c r="C23" t="s">
        <v>251</v>
      </c>
      <c r="D23" t="s">
        <v>252</v>
      </c>
      <c r="E23" t="s">
        <v>253</v>
      </c>
      <c r="F23" t="s">
        <v>254</v>
      </c>
      <c r="G23" t="s">
        <v>255</v>
      </c>
      <c r="H23" t="s">
        <v>256</v>
      </c>
      <c r="I23" t="s">
        <v>257</v>
      </c>
    </row>
    <row r="24" spans="1:9" x14ac:dyDescent="0.25">
      <c r="A24" t="s">
        <v>258</v>
      </c>
      <c r="B24" t="s">
        <v>259</v>
      </c>
      <c r="C24" t="s">
        <v>260</v>
      </c>
      <c r="D24" t="s">
        <v>261</v>
      </c>
      <c r="E24" t="s">
        <v>262</v>
      </c>
      <c r="F24" t="s">
        <v>263</v>
      </c>
      <c r="G24" t="s">
        <v>264</v>
      </c>
      <c r="H24" t="s">
        <v>265</v>
      </c>
      <c r="I24" t="s">
        <v>266</v>
      </c>
    </row>
    <row r="25" spans="1:9" x14ac:dyDescent="0.25">
      <c r="A25" t="s">
        <v>267</v>
      </c>
      <c r="B25" t="s">
        <v>268</v>
      </c>
      <c r="C25" t="s">
        <v>269</v>
      </c>
      <c r="D25" t="s">
        <v>270</v>
      </c>
      <c r="E25" t="s">
        <v>271</v>
      </c>
      <c r="F25" t="s">
        <v>272</v>
      </c>
      <c r="G25" t="s">
        <v>273</v>
      </c>
      <c r="H25" t="s">
        <v>274</v>
      </c>
      <c r="I25" t="s">
        <v>275</v>
      </c>
    </row>
    <row r="26" spans="1:9" x14ac:dyDescent="0.25">
      <c r="A26" t="s">
        <v>276</v>
      </c>
      <c r="B26" t="s">
        <v>277</v>
      </c>
      <c r="C26" t="s">
        <v>278</v>
      </c>
      <c r="D26" t="s">
        <v>279</v>
      </c>
      <c r="E26" t="s">
        <v>280</v>
      </c>
      <c r="F26" t="s">
        <v>281</v>
      </c>
      <c r="G26" t="s">
        <v>282</v>
      </c>
      <c r="H26" t="s">
        <v>283</v>
      </c>
      <c r="I26" t="s">
        <v>284</v>
      </c>
    </row>
    <row r="27" spans="1:9" x14ac:dyDescent="0.25">
      <c r="A27" t="s">
        <v>285</v>
      </c>
      <c r="B27" t="s">
        <v>286</v>
      </c>
      <c r="C27" t="s">
        <v>287</v>
      </c>
      <c r="D27" t="s">
        <v>288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</row>
    <row r="28" spans="1:9" x14ac:dyDescent="0.25">
      <c r="A28" t="s">
        <v>294</v>
      </c>
      <c r="B28" t="s">
        <v>295</v>
      </c>
      <c r="C28" t="s">
        <v>296</v>
      </c>
      <c r="D28" t="s">
        <v>297</v>
      </c>
      <c r="E28" t="s">
        <v>298</v>
      </c>
      <c r="F28" t="s">
        <v>299</v>
      </c>
      <c r="G28" t="s">
        <v>300</v>
      </c>
      <c r="H28" t="s">
        <v>301</v>
      </c>
      <c r="I28" t="s">
        <v>302</v>
      </c>
    </row>
    <row r="29" spans="1:9" x14ac:dyDescent="0.25">
      <c r="A29" t="s">
        <v>303</v>
      </c>
      <c r="B29" t="s">
        <v>304</v>
      </c>
      <c r="C29" t="s">
        <v>305</v>
      </c>
      <c r="D29" t="s">
        <v>306</v>
      </c>
      <c r="E29" t="s">
        <v>307</v>
      </c>
      <c r="F29" t="s">
        <v>308</v>
      </c>
      <c r="G29" t="s">
        <v>309</v>
      </c>
      <c r="H29" t="s">
        <v>310</v>
      </c>
      <c r="I29" t="s">
        <v>311</v>
      </c>
    </row>
    <row r="30" spans="1:9" x14ac:dyDescent="0.25">
      <c r="A30" t="s">
        <v>312</v>
      </c>
      <c r="B30" t="s">
        <v>313</v>
      </c>
      <c r="C30" t="s">
        <v>314</v>
      </c>
      <c r="D30" t="s">
        <v>315</v>
      </c>
      <c r="E30" t="s">
        <v>316</v>
      </c>
      <c r="F30" t="s">
        <v>317</v>
      </c>
      <c r="G30" t="s">
        <v>318</v>
      </c>
      <c r="H30" t="s">
        <v>319</v>
      </c>
      <c r="I30" t="s">
        <v>320</v>
      </c>
    </row>
    <row r="31" spans="1:9" x14ac:dyDescent="0.25">
      <c r="A31" t="s">
        <v>50</v>
      </c>
      <c r="B31" t="s">
        <v>321</v>
      </c>
      <c r="C31" t="s">
        <v>322</v>
      </c>
      <c r="D31" t="s">
        <v>323</v>
      </c>
      <c r="E31" t="s">
        <v>324</v>
      </c>
      <c r="F31" t="s">
        <v>325</v>
      </c>
      <c r="G31" t="s">
        <v>326</v>
      </c>
      <c r="H31" t="s">
        <v>327</v>
      </c>
      <c r="I31" t="s">
        <v>328</v>
      </c>
    </row>
    <row r="32" spans="1:9" x14ac:dyDescent="0.25">
      <c r="A32" t="s">
        <v>329</v>
      </c>
      <c r="B32" t="s">
        <v>330</v>
      </c>
      <c r="C32" t="s">
        <v>331</v>
      </c>
      <c r="D32" t="s">
        <v>332</v>
      </c>
      <c r="E32" t="s">
        <v>333</v>
      </c>
      <c r="F32" t="s">
        <v>334</v>
      </c>
      <c r="G32" t="s">
        <v>335</v>
      </c>
      <c r="H32" t="s">
        <v>336</v>
      </c>
      <c r="I32" t="s">
        <v>337</v>
      </c>
    </row>
    <row r="33" spans="1:9" x14ac:dyDescent="0.25">
      <c r="A33" t="s">
        <v>27</v>
      </c>
      <c r="B33" t="s">
        <v>338</v>
      </c>
      <c r="C33" t="s">
        <v>339</v>
      </c>
      <c r="D33" t="s">
        <v>340</v>
      </c>
      <c r="E33" t="s">
        <v>341</v>
      </c>
      <c r="F33" t="s">
        <v>342</v>
      </c>
      <c r="G33" t="s">
        <v>343</v>
      </c>
      <c r="H33" t="s">
        <v>344</v>
      </c>
      <c r="I33" t="s">
        <v>345</v>
      </c>
    </row>
    <row r="34" spans="1:9" x14ac:dyDescent="0.25">
      <c r="A34" t="s">
        <v>28</v>
      </c>
      <c r="B34" t="s">
        <v>346</v>
      </c>
      <c r="C34" t="s">
        <v>347</v>
      </c>
      <c r="D34" t="s">
        <v>348</v>
      </c>
      <c r="E34" t="s">
        <v>349</v>
      </c>
      <c r="F34" t="s">
        <v>350</v>
      </c>
      <c r="G34" t="s">
        <v>351</v>
      </c>
      <c r="H34" t="s">
        <v>352</v>
      </c>
      <c r="I34" t="s">
        <v>353</v>
      </c>
    </row>
    <row r="36" spans="1:9" x14ac:dyDescent="0.25">
      <c r="B36" t="s">
        <v>169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ESTUDO_PTAX</vt:lpstr>
      <vt:lpstr>Planilha1</vt:lpstr>
      <vt:lpstr>Abertura Dólar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deitos</cp:lastModifiedBy>
  <dcterms:created xsi:type="dcterms:W3CDTF">2021-10-28T10:33:45Z</dcterms:created>
  <dcterms:modified xsi:type="dcterms:W3CDTF">2026-07-06T12:32:18Z</dcterms:modified>
</cp:coreProperties>
</file>